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req_Security_Limits" sheetId="2" state="visible" r:id="rId4"/>
    <sheet name="SG_PFR" sheetId="3" state="visible" r:id="rId5"/>
    <sheet name="WT_PFR" sheetId="4" state="visible" r:id="rId6"/>
    <sheet name="ESS_PFR" sheetId="5" state="visible" r:id="rId7"/>
    <sheet name="MG_Aggregat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<sst xmlns="http://schemas.openxmlformats.org/spreadsheetml/2006/main" count="192" uniqueCount="127">
  <si>
    <t xml:space="preserve">DRFC — Frequency &amp; Primary-Frequency-Response (PFR) Parameters</t>
  </si>
  <si>
    <t xml:space="preserve">Supplementary data for: Distributionally Robust Frequency-Constrained Dispatch of Microgrid Clusters with Shared Energy Storage</t>
  </si>
  <si>
    <t xml:space="preserve">Item</t>
  </si>
  <si>
    <t xml:space="preserve">Description</t>
  </si>
  <si>
    <t xml:space="preserve">Purpose</t>
  </si>
  <si>
    <t xml:space="preserve">Exact frequency-security and PFR parameters used in the case studies (Sections II-E, IV-D, V). Values are imported from the simulation code (config.py / frequency.py), not re-typed.</t>
  </si>
  <si>
    <t xml:space="preserve">Systems</t>
  </si>
  <si>
    <t xml:space="preserve">Two test systems: modified IEEE 33-bus / 4-MG and IEEE 123-bus / 6-MG.</t>
  </si>
  <si>
    <t xml:space="preserve">Sheets</t>
  </si>
  <si>
    <t xml:space="preserve">Freq_Security_Limits, SG_PFR, WT_PFR, ESS_PFR, MG_Aggregate.</t>
  </si>
  <si>
    <t xml:space="preserve">Nominal frequency f0</t>
  </si>
  <si>
    <t xml:space="preserve">50 Hz (50-Hz system).</t>
  </si>
  <si>
    <t xml:space="preserve">Droop convention</t>
  </si>
  <si>
    <t xml:space="preserve">Droop gain 1/R = Pmax / (R * f0) [MW/Hz]; a droop R=0.05 means a 5% frequency change deploys full reserve.</t>
  </si>
  <si>
    <t xml:space="preserve">Inertia convention</t>
  </si>
  <si>
    <t xml:space="preserve">Unit inertia contribution H * Pmax [MW*s] when committed; ESS virtual inertia H_e * P_max is shared equally across the cluster (/K).</t>
  </si>
  <si>
    <t xml:space="preserve">Nominal point</t>
  </si>
  <si>
    <t xml:space="preserve">Per-MG aggregates use a nominal islanding imbalance dP0 = 0.20 x peak load and the committed inertia H0 = 0.5*Sum(H*Pmax over SGs) + H_ess (floored at 1 MW*s), the linearisation point of the nadir constraint eq.(20).</t>
  </si>
  <si>
    <t xml:space="preserve">Frequency metrics</t>
  </si>
  <si>
    <t xml:space="preserve">RoCoF |dP|/(2H) &lt;= RoCoF_max;  nadir f0-(dP/D)(1+sqrt(Tg/2H)) &gt;= f_min;  QSS |dP-dP_pfr|/(D+Sum 1/R) &lt;= df_qss,max.</t>
  </si>
  <si>
    <t xml:space="preserve">Units</t>
  </si>
  <si>
    <t xml:space="preserve">MW, MWh, MW/Hz, s, Hz, Hz/s as labelled in each header.</t>
  </si>
  <si>
    <t xml:space="preserve">Note: derived per-MG quantities on the MG_Aggregate sheet are live Excel formulas referencing the unit sheets, so edits to any unit rating or droop propagate automatically.</t>
  </si>
  <si>
    <t xml:space="preserve">Frequency-security limits &amp; global constants (Section II-E-3)</t>
  </si>
  <si>
    <t xml:space="preserve">Parameter</t>
  </si>
  <si>
    <t xml:space="preserve">Symbol</t>
  </si>
  <si>
    <t xml:space="preserve">Value</t>
  </si>
  <si>
    <t xml:space="preserve">Unit</t>
  </si>
  <si>
    <t xml:space="preserve">Paper ref.</t>
  </si>
  <si>
    <t xml:space="preserve">Nominal frequency</t>
  </si>
  <si>
    <t xml:space="preserve">f0</t>
  </si>
  <si>
    <t xml:space="preserve">Hz</t>
  </si>
  <si>
    <t xml:space="preserve">Sec. II-E</t>
  </si>
  <si>
    <t xml:space="preserve">RoCoF limit</t>
  </si>
  <si>
    <t xml:space="preserve">RoCoF_max</t>
  </si>
  <si>
    <t xml:space="preserve">Hz/s</t>
  </si>
  <si>
    <t xml:space="preserve">eq. (13)</t>
  </si>
  <si>
    <t xml:space="preserve">Frequency nadir floor</t>
  </si>
  <si>
    <t xml:space="preserve">f_min</t>
  </si>
  <si>
    <t xml:space="preserve">eq. (14)</t>
  </si>
  <si>
    <t xml:space="preserve">Max allowable nadir drop</t>
  </si>
  <si>
    <t xml:space="preserve">f0 - f_min</t>
  </si>
  <si>
    <t xml:space="preserve">Quasi-steady-state deviation cap</t>
  </si>
  <si>
    <t xml:space="preserve">df_qss,max</t>
  </si>
  <si>
    <t xml:space="preserve">eq. (16)</t>
  </si>
  <si>
    <t xml:space="preserve">Load-damping coefficient (per peak-MW)</t>
  </si>
  <si>
    <t xml:space="preserve">D_coef</t>
  </si>
  <si>
    <t xml:space="preserve">MW/Hz per MW</t>
  </si>
  <si>
    <t xml:space="preserve">eq. (10)</t>
  </si>
  <si>
    <t xml:space="preserve">PFR discretisation time step</t>
  </si>
  <si>
    <t xml:space="preserve">dt_PFR</t>
  </si>
  <si>
    <t xml:space="preserve">s</t>
  </si>
  <si>
    <t xml:space="preserve">eq. (19), Sec. V-A</t>
  </si>
  <si>
    <t xml:space="preserve">PFR observation window</t>
  </si>
  <si>
    <t xml:space="preserve">T_PFR</t>
  </si>
  <si>
    <t xml:space="preserve">Sec. V-A</t>
  </si>
  <si>
    <t xml:space="preserve">Per-MG load damping D = D_coef x (peak load of the MG); see MG_Aggregate.</t>
  </si>
  <si>
    <t xml:space="preserve">Synchronous-generator governor &amp; inertia parameters</t>
  </si>
  <si>
    <t xml:space="preserve">System</t>
  </si>
  <si>
    <t xml:space="preserve">MG</t>
  </si>
  <si>
    <t xml:space="preserve">Pmax (MW)</t>
  </si>
  <si>
    <t xml:space="preserve">Droop R</t>
  </si>
  <si>
    <t xml:space="preserve">Tg (s)</t>
  </si>
  <si>
    <t xml:space="preserve">H (s)</t>
  </si>
  <si>
    <t xml:space="preserve">PFR reserve (MW)</t>
  </si>
  <si>
    <t xml:space="preserve">1/R (MW/Hz)</t>
  </si>
  <si>
    <t xml:space="preserve">H*Pmax (MW*s)</t>
  </si>
  <si>
    <t xml:space="preserve">Tg*Pmax</t>
  </si>
  <si>
    <t xml:space="preserve">33-bus</t>
  </si>
  <si>
    <t xml:space="preserve">SG1</t>
  </si>
  <si>
    <t xml:space="preserve">SG2a</t>
  </si>
  <si>
    <t xml:space="preserve">SG2b</t>
  </si>
  <si>
    <t xml:space="preserve">SG3</t>
  </si>
  <si>
    <t xml:space="preserve">SG4a</t>
  </si>
  <si>
    <t xml:space="preserve">SG4b</t>
  </si>
  <si>
    <t xml:space="preserve">123-bus</t>
  </si>
  <si>
    <t xml:space="preserve">SG1a</t>
  </si>
  <si>
    <t xml:space="preserve">SG1b</t>
  </si>
  <si>
    <t xml:space="preserve">SG2c</t>
  </si>
  <si>
    <t xml:space="preserve">SG3a</t>
  </si>
  <si>
    <t xml:space="preserve">SG3b</t>
  </si>
  <si>
    <t xml:space="preserve">SG5a</t>
  </si>
  <si>
    <t xml:space="preserve">SG5b</t>
  </si>
  <si>
    <t xml:space="preserve">SG5c</t>
  </si>
  <si>
    <t xml:space="preserve">SG6a</t>
  </si>
  <si>
    <t xml:space="preserve">SG6b</t>
  </si>
  <si>
    <t xml:space="preserve">Wind-turbine deloading &amp; PFR parameters</t>
  </si>
  <si>
    <t xml:space="preserve">Capacity (MW)</t>
  </si>
  <si>
    <t xml:space="preserve">delta_max</t>
  </si>
  <si>
    <t xml:space="preserve">Tw (s)</t>
  </si>
  <si>
    <t xml:space="preserve">WT1</t>
  </si>
  <si>
    <t xml:space="preserve">WT2</t>
  </si>
  <si>
    <t xml:space="preserve">WT3</t>
  </si>
  <si>
    <t xml:space="preserve">WT4</t>
  </si>
  <si>
    <t xml:space="preserve">WT2a</t>
  </si>
  <si>
    <t xml:space="preserve">WT2b</t>
  </si>
  <si>
    <t xml:space="preserve">WT5a</t>
  </si>
  <si>
    <t xml:space="preserve">WT5b</t>
  </si>
  <si>
    <t xml:space="preserve">WT6</t>
  </si>
  <si>
    <t xml:space="preserve">Shared energy storage (SESS): synthetic inertia &amp; droop</t>
  </si>
  <si>
    <t xml:space="preserve">E_max (MWh)</t>
  </si>
  <si>
    <t xml:space="preserve">E_min (MWh)</t>
  </si>
  <si>
    <t xml:space="preserve">P_max (MW)</t>
  </si>
  <si>
    <t xml:space="preserve">eta_ch</t>
  </si>
  <si>
    <t xml:space="preserve">eta_dis</t>
  </si>
  <si>
    <t xml:space="preserve">H_e (s)</t>
  </si>
  <si>
    <t xml:space="preserve">Droop R_e</t>
  </si>
  <si>
    <t xml:space="preserve">Te_IR (s)</t>
  </si>
  <si>
    <t xml:space="preserve">Te (s)</t>
  </si>
  <si>
    <t xml:space="preserve">K (MGs)</t>
  </si>
  <si>
    <t xml:space="preserve">1/R_e total (MW/Hz)</t>
  </si>
  <si>
    <t xml:space="preserve">H_e*P_max (MW*s)</t>
  </si>
  <si>
    <t xml:space="preserve">Per-MG ESS share: virtual inertia H_e*P_max/K and droop gain (1/R_e total)/K are allocated equally to each microgrid.</t>
  </si>
  <si>
    <t xml:space="preserve">Per-microgrid aggregate frequency parameters (nominal operating point)</t>
  </si>
  <si>
    <t xml:space="preserve">Peak load (MW)</t>
  </si>
  <si>
    <t xml:space="preserve">D (MW/Hz)</t>
  </si>
  <si>
    <t xml:space="preserve">Tg_eq (s)</t>
  </si>
  <si>
    <t xml:space="preserve">Sum H_SG (MW*s)</t>
  </si>
  <si>
    <t xml:space="preserve">H_ess share (MW*s)</t>
  </si>
  <si>
    <t xml:space="preserve">H0 (MW*s)</t>
  </si>
  <si>
    <t xml:space="preserve">Sum 1/R (MW/Hz)</t>
  </si>
  <si>
    <t xml:space="preserve">D+Sum 1/R (MW/Hz)</t>
  </si>
  <si>
    <t xml:space="preserve">kappa0 (Hz/MW)</t>
  </si>
  <si>
    <t xml:space="preserve">dP0 (MW)</t>
  </si>
  <si>
    <t xml:space="preserve">g(dP0,H0) (Hz)</t>
  </si>
  <si>
    <t xml:space="preserve">f_nadir (Hz)</t>
  </si>
  <si>
    <t xml:space="preserve">g(dP0,H0) is the nadir drop at the nominal operating point; f_nadir = f0 - g. These are the Taylor-linearisation anchors of eq.(20).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</si>
</sst>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23.8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23.85" hidden="false" customHeight="false" outlineLevel="0" collapsed="false">
      <c r="A10" s="4" t="s">
        <v>14</v>
      </c>
      <c r="B10" s="4" t="s">
        <v>15</v>
      </c>
    </row>
    <row r="11" customFormat="false" ht="23.85" hidden="false" customHeight="false" outlineLevel="0" collapsed="false">
      <c r="A11" s="4" t="s">
        <v>16</v>
      </c>
      <c r="B11" s="4" t="s">
        <v>17</v>
      </c>
    </row>
    <row r="12" customFormat="false" ht="23.8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5" customFormat="false" ht="15" hidden="false" customHeight="false" outlineLevel="0" collapsed="false">
      <c r="A15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5" min="4" style="0" width="16"/>
  </cols>
  <sheetData>
    <row r="1" customFormat="false" ht="16.15" hidden="false" customHeight="false" outlineLevel="0" collapsed="false">
      <c r="A1" s="1" t="s">
        <v>23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</row>
    <row r="4" customFormat="false" ht="15" hidden="false" customHeight="false" outlineLevel="0" collapsed="false">
      <c r="A4" s="6" t="s">
        <v>29</v>
      </c>
      <c r="B4" s="6" t="s">
        <v>30</v>
      </c>
      <c r="C4" s="6" t="n">
        <v>50</v>
      </c>
      <c r="D4" s="6" t="s">
        <v>31</v>
      </c>
      <c r="E4" s="6" t="s">
        <v>32</v>
      </c>
    </row>
    <row r="5" customFormat="false" ht="15" hidden="false" customHeight="false" outlineLevel="0" collapsed="false">
      <c r="A5" s="6" t="s">
        <v>33</v>
      </c>
      <c r="B5" s="6" t="s">
        <v>34</v>
      </c>
      <c r="C5" s="6" t="n">
        <v>0.5</v>
      </c>
      <c r="D5" s="6" t="s">
        <v>35</v>
      </c>
      <c r="E5" s="6" t="s">
        <v>36</v>
      </c>
    </row>
    <row r="6" customFormat="false" ht="15" hidden="false" customHeight="false" outlineLevel="0" collapsed="false">
      <c r="A6" s="6" t="s">
        <v>37</v>
      </c>
      <c r="B6" s="6" t="s">
        <v>38</v>
      </c>
      <c r="C6" s="6" t="n">
        <v>49.5</v>
      </c>
      <c r="D6" s="6" t="s">
        <v>31</v>
      </c>
      <c r="E6" s="6" t="s">
        <v>39</v>
      </c>
    </row>
    <row r="7" customFormat="false" ht="15" hidden="false" customHeight="false" outlineLevel="0" collapsed="false">
      <c r="A7" s="6" t="s">
        <v>40</v>
      </c>
      <c r="B7" s="6" t="s">
        <v>41</v>
      </c>
      <c r="C7" s="6" t="n">
        <f aca="false">C4-C6</f>
        <v>0.5</v>
      </c>
      <c r="D7" s="6" t="s">
        <v>31</v>
      </c>
      <c r="E7" s="6" t="s">
        <v>39</v>
      </c>
    </row>
    <row r="8" customFormat="false" ht="15" hidden="false" customHeight="false" outlineLevel="0" collapsed="false">
      <c r="A8" s="6" t="s">
        <v>42</v>
      </c>
      <c r="B8" s="6" t="s">
        <v>43</v>
      </c>
      <c r="C8" s="6" t="n">
        <v>0.2</v>
      </c>
      <c r="D8" s="6" t="s">
        <v>31</v>
      </c>
      <c r="E8" s="6" t="s">
        <v>44</v>
      </c>
    </row>
    <row r="9" customFormat="false" ht="15" hidden="false" customHeight="false" outlineLevel="0" collapsed="false">
      <c r="A9" s="6" t="s">
        <v>45</v>
      </c>
      <c r="B9" s="6" t="s">
        <v>46</v>
      </c>
      <c r="C9" s="6" t="n">
        <v>1</v>
      </c>
      <c r="D9" s="6" t="s">
        <v>47</v>
      </c>
      <c r="E9" s="6" t="s">
        <v>48</v>
      </c>
    </row>
    <row r="10" customFormat="false" ht="15" hidden="false" customHeight="false" outlineLevel="0" collapsed="false">
      <c r="A10" s="6" t="s">
        <v>49</v>
      </c>
      <c r="B10" s="6" t="s">
        <v>50</v>
      </c>
      <c r="C10" s="6" t="n">
        <v>0.1</v>
      </c>
      <c r="D10" s="6" t="s">
        <v>51</v>
      </c>
      <c r="E10" s="6" t="s">
        <v>52</v>
      </c>
    </row>
    <row r="11" customFormat="false" ht="15" hidden="false" customHeight="false" outlineLevel="0" collapsed="false">
      <c r="A11" s="6" t="s">
        <v>53</v>
      </c>
      <c r="B11" s="6" t="s">
        <v>54</v>
      </c>
      <c r="C11" s="6" t="n">
        <v>30</v>
      </c>
      <c r="D11" s="6" t="s">
        <v>51</v>
      </c>
      <c r="E11" s="6" t="s">
        <v>55</v>
      </c>
    </row>
    <row r="13" customFormat="false" ht="15" hidden="false" customHeight="false" outlineLevel="0" collapsed="false">
      <c r="A13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7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</cols>
  <sheetData>
    <row r="1" customFormat="false" ht="16.15" hidden="false" customHeight="false" outlineLevel="0" collapsed="false">
      <c r="A1" s="1" t="s">
        <v>57</v>
      </c>
    </row>
    <row r="3" customFormat="false" ht="26.85" hidden="false" customHeight="false" outlineLevel="0" collapsed="false">
      <c r="A3" s="3" t="s">
        <v>58</v>
      </c>
      <c r="B3" s="3" t="s">
        <v>59</v>
      </c>
      <c r="C3" s="3" t="s">
        <v>27</v>
      </c>
      <c r="D3" s="3" t="s">
        <v>60</v>
      </c>
      <c r="E3" s="3" t="s">
        <v>61</v>
      </c>
      <c r="F3" s="3" t="s">
        <v>62</v>
      </c>
      <c r="G3" s="3" t="s">
        <v>63</v>
      </c>
      <c r="H3" s="3" t="s">
        <v>64</v>
      </c>
      <c r="I3" s="3" t="s">
        <v>65</v>
      </c>
      <c r="J3" s="3" t="s">
        <v>66</v>
      </c>
      <c r="K3" s="3" t="s">
        <v>67</v>
      </c>
    </row>
    <row r="4" customFormat="false" ht="15" hidden="false" customHeight="false" outlineLevel="0" collapsed="false">
      <c r="A4" s="4" t="s">
        <v>68</v>
      </c>
      <c r="B4" s="4" t="n">
        <v>1</v>
      </c>
      <c r="C4" s="4" t="s">
        <v>69</v>
      </c>
      <c r="D4" s="4" t="n">
        <v>3.5</v>
      </c>
      <c r="E4" s="4" t="n">
        <v>0.05</v>
      </c>
      <c r="F4" s="4" t="n">
        <v>8</v>
      </c>
      <c r="G4" s="4" t="n">
        <v>4</v>
      </c>
      <c r="H4" s="4" t="n">
        <v>1.75</v>
      </c>
      <c r="I4" s="4" t="n">
        <f aca="false">D4/(E4*Freq_Security_Limits!$C$4)</f>
        <v>1.4</v>
      </c>
      <c r="J4" s="4" t="n">
        <f aca="false">G4*D4</f>
        <v>14</v>
      </c>
      <c r="K4" s="4" t="n">
        <f aca="false">F4*D4</f>
        <v>28</v>
      </c>
    </row>
    <row r="5" customFormat="false" ht="15" hidden="false" customHeight="false" outlineLevel="0" collapsed="false">
      <c r="A5" s="4" t="s">
        <v>68</v>
      </c>
      <c r="B5" s="4" t="n">
        <v>2</v>
      </c>
      <c r="C5" s="4" t="s">
        <v>70</v>
      </c>
      <c r="D5" s="4" t="n">
        <v>2.6</v>
      </c>
      <c r="E5" s="4" t="n">
        <v>0.05</v>
      </c>
      <c r="F5" s="4" t="n">
        <v>8</v>
      </c>
      <c r="G5" s="4" t="n">
        <v>4</v>
      </c>
      <c r="H5" s="4" t="n">
        <v>1.3</v>
      </c>
      <c r="I5" s="4" t="n">
        <f aca="false">D5/(E5*Freq_Security_Limits!$C$4)</f>
        <v>1.04</v>
      </c>
      <c r="J5" s="4" t="n">
        <f aca="false">G5*D5</f>
        <v>10.4</v>
      </c>
      <c r="K5" s="4" t="n">
        <f aca="false">F5*D5</f>
        <v>20.8</v>
      </c>
    </row>
    <row r="6" customFormat="false" ht="15" hidden="false" customHeight="false" outlineLevel="0" collapsed="false">
      <c r="A6" s="4" t="s">
        <v>68</v>
      </c>
      <c r="B6" s="4" t="n">
        <v>2</v>
      </c>
      <c r="C6" s="4" t="s">
        <v>71</v>
      </c>
      <c r="D6" s="4" t="n">
        <v>2.4</v>
      </c>
      <c r="E6" s="4" t="n">
        <v>0.05</v>
      </c>
      <c r="F6" s="4" t="n">
        <v>8</v>
      </c>
      <c r="G6" s="4" t="n">
        <v>4</v>
      </c>
      <c r="H6" s="4" t="n">
        <v>1.2</v>
      </c>
      <c r="I6" s="4" t="n">
        <f aca="false">D6/(E6*Freq_Security_Limits!$C$4)</f>
        <v>0.96</v>
      </c>
      <c r="J6" s="4" t="n">
        <f aca="false">G6*D6</f>
        <v>9.6</v>
      </c>
      <c r="K6" s="4" t="n">
        <f aca="false">F6*D6</f>
        <v>19.2</v>
      </c>
    </row>
    <row r="7" customFormat="false" ht="15" hidden="false" customHeight="false" outlineLevel="0" collapsed="false">
      <c r="A7" s="4" t="s">
        <v>68</v>
      </c>
      <c r="B7" s="4" t="n">
        <v>3</v>
      </c>
      <c r="C7" s="4" t="s">
        <v>72</v>
      </c>
      <c r="D7" s="4" t="n">
        <v>3</v>
      </c>
      <c r="E7" s="4" t="n">
        <v>0.05</v>
      </c>
      <c r="F7" s="4" t="n">
        <v>8</v>
      </c>
      <c r="G7" s="4" t="n">
        <v>4</v>
      </c>
      <c r="H7" s="4" t="n">
        <v>1.5</v>
      </c>
      <c r="I7" s="4" t="n">
        <f aca="false">D7/(E7*Freq_Security_Limits!$C$4)</f>
        <v>1.2</v>
      </c>
      <c r="J7" s="4" t="n">
        <f aca="false">G7*D7</f>
        <v>12</v>
      </c>
      <c r="K7" s="4" t="n">
        <f aca="false">F7*D7</f>
        <v>24</v>
      </c>
    </row>
    <row r="8" customFormat="false" ht="15" hidden="false" customHeight="false" outlineLevel="0" collapsed="false">
      <c r="A8" s="4" t="s">
        <v>68</v>
      </c>
      <c r="B8" s="4" t="n">
        <v>4</v>
      </c>
      <c r="C8" s="4" t="s">
        <v>73</v>
      </c>
      <c r="D8" s="4" t="n">
        <v>2</v>
      </c>
      <c r="E8" s="4" t="n">
        <v>0.05</v>
      </c>
      <c r="F8" s="4" t="n">
        <v>8</v>
      </c>
      <c r="G8" s="4" t="n">
        <v>4</v>
      </c>
      <c r="H8" s="4" t="n">
        <v>1</v>
      </c>
      <c r="I8" s="4" t="n">
        <f aca="false">D8/(E8*Freq_Security_Limits!$C$4)</f>
        <v>0.8</v>
      </c>
      <c r="J8" s="4" t="n">
        <f aca="false">G8*D8</f>
        <v>8</v>
      </c>
      <c r="K8" s="4" t="n">
        <f aca="false">F8*D8</f>
        <v>16</v>
      </c>
    </row>
    <row r="9" customFormat="false" ht="15" hidden="false" customHeight="false" outlineLevel="0" collapsed="false">
      <c r="A9" s="4" t="s">
        <v>68</v>
      </c>
      <c r="B9" s="4" t="n">
        <v>4</v>
      </c>
      <c r="C9" s="4" t="s">
        <v>74</v>
      </c>
      <c r="D9" s="4" t="n">
        <v>1.6</v>
      </c>
      <c r="E9" s="4" t="n">
        <v>0.05</v>
      </c>
      <c r="F9" s="4" t="n">
        <v>8</v>
      </c>
      <c r="G9" s="4" t="n">
        <v>4</v>
      </c>
      <c r="H9" s="4" t="n">
        <v>0.8</v>
      </c>
      <c r="I9" s="4" t="n">
        <f aca="false">D9/(E9*Freq_Security_Limits!$C$4)</f>
        <v>0.64</v>
      </c>
      <c r="J9" s="4" t="n">
        <f aca="false">G9*D9</f>
        <v>6.4</v>
      </c>
      <c r="K9" s="4" t="n">
        <f aca="false">F9*D9</f>
        <v>12.8</v>
      </c>
    </row>
    <row r="10" customFormat="false" ht="15" hidden="false" customHeight="false" outlineLevel="0" collapsed="false">
      <c r="A10" s="4" t="s">
        <v>75</v>
      </c>
      <c r="B10" s="4" t="n">
        <v>1</v>
      </c>
      <c r="C10" s="4" t="s">
        <v>76</v>
      </c>
      <c r="D10" s="4" t="n">
        <v>3</v>
      </c>
      <c r="E10" s="4" t="n">
        <v>0.05</v>
      </c>
      <c r="F10" s="4" t="n">
        <v>8</v>
      </c>
      <c r="G10" s="4" t="n">
        <v>4</v>
      </c>
      <c r="H10" s="4" t="n">
        <v>1.5</v>
      </c>
      <c r="I10" s="4" t="n">
        <f aca="false">D10/(E10*Freq_Security_Limits!$C$4)</f>
        <v>1.2</v>
      </c>
      <c r="J10" s="4" t="n">
        <f aca="false">G10*D10</f>
        <v>12</v>
      </c>
      <c r="K10" s="4" t="n">
        <f aca="false">F10*D10</f>
        <v>24</v>
      </c>
    </row>
    <row r="11" customFormat="false" ht="15" hidden="false" customHeight="false" outlineLevel="0" collapsed="false">
      <c r="A11" s="4" t="s">
        <v>75</v>
      </c>
      <c r="B11" s="4" t="n">
        <v>1</v>
      </c>
      <c r="C11" s="4" t="s">
        <v>77</v>
      </c>
      <c r="D11" s="4" t="n">
        <v>2</v>
      </c>
      <c r="E11" s="4" t="n">
        <v>0.05</v>
      </c>
      <c r="F11" s="4" t="n">
        <v>8</v>
      </c>
      <c r="G11" s="4" t="n">
        <v>4</v>
      </c>
      <c r="H11" s="4" t="n">
        <v>1</v>
      </c>
      <c r="I11" s="4" t="n">
        <f aca="false">D11/(E11*Freq_Security_Limits!$C$4)</f>
        <v>0.8</v>
      </c>
      <c r="J11" s="4" t="n">
        <f aca="false">G11*D11</f>
        <v>8</v>
      </c>
      <c r="K11" s="4" t="n">
        <f aca="false">F11*D11</f>
        <v>16</v>
      </c>
    </row>
    <row r="12" customFormat="false" ht="15" hidden="false" customHeight="false" outlineLevel="0" collapsed="false">
      <c r="A12" s="4" t="s">
        <v>75</v>
      </c>
      <c r="B12" s="4" t="n">
        <v>2</v>
      </c>
      <c r="C12" s="4" t="s">
        <v>70</v>
      </c>
      <c r="D12" s="4" t="n">
        <v>3</v>
      </c>
      <c r="E12" s="4" t="n">
        <v>0.05</v>
      </c>
      <c r="F12" s="4" t="n">
        <v>8</v>
      </c>
      <c r="G12" s="4" t="n">
        <v>4</v>
      </c>
      <c r="H12" s="4" t="n">
        <v>1.5</v>
      </c>
      <c r="I12" s="4" t="n">
        <f aca="false">D12/(E12*Freq_Security_Limits!$C$4)</f>
        <v>1.2</v>
      </c>
      <c r="J12" s="4" t="n">
        <f aca="false">G12*D12</f>
        <v>12</v>
      </c>
      <c r="K12" s="4" t="n">
        <f aca="false">F12*D12</f>
        <v>24</v>
      </c>
    </row>
    <row r="13" customFormat="false" ht="15" hidden="false" customHeight="false" outlineLevel="0" collapsed="false">
      <c r="A13" s="4" t="s">
        <v>75</v>
      </c>
      <c r="B13" s="4" t="n">
        <v>2</v>
      </c>
      <c r="C13" s="4" t="s">
        <v>71</v>
      </c>
      <c r="D13" s="4" t="n">
        <v>2</v>
      </c>
      <c r="E13" s="4" t="n">
        <v>0.05</v>
      </c>
      <c r="F13" s="4" t="n">
        <v>8</v>
      </c>
      <c r="G13" s="4" t="n">
        <v>4</v>
      </c>
      <c r="H13" s="4" t="n">
        <v>1</v>
      </c>
      <c r="I13" s="4" t="n">
        <f aca="false">D13/(E13*Freq_Security_Limits!$C$4)</f>
        <v>0.8</v>
      </c>
      <c r="J13" s="4" t="n">
        <f aca="false">G13*D13</f>
        <v>8</v>
      </c>
      <c r="K13" s="4" t="n">
        <f aca="false">F13*D13</f>
        <v>16</v>
      </c>
    </row>
    <row r="14" customFormat="false" ht="15" hidden="false" customHeight="false" outlineLevel="0" collapsed="false">
      <c r="A14" s="4" t="s">
        <v>75</v>
      </c>
      <c r="B14" s="4" t="n">
        <v>2</v>
      </c>
      <c r="C14" s="4" t="s">
        <v>78</v>
      </c>
      <c r="D14" s="4" t="n">
        <v>1.5</v>
      </c>
      <c r="E14" s="4" t="n">
        <v>0.05</v>
      </c>
      <c r="F14" s="4" t="n">
        <v>8</v>
      </c>
      <c r="G14" s="4" t="n">
        <v>4</v>
      </c>
      <c r="H14" s="4" t="n">
        <v>0.75</v>
      </c>
      <c r="I14" s="4" t="n">
        <f aca="false">D14/(E14*Freq_Security_Limits!$C$4)</f>
        <v>0.6</v>
      </c>
      <c r="J14" s="4" t="n">
        <f aca="false">G14*D14</f>
        <v>6</v>
      </c>
      <c r="K14" s="4" t="n">
        <f aca="false">F14*D14</f>
        <v>12</v>
      </c>
    </row>
    <row r="15" customFormat="false" ht="15" hidden="false" customHeight="false" outlineLevel="0" collapsed="false">
      <c r="A15" s="4" t="s">
        <v>75</v>
      </c>
      <c r="B15" s="4" t="n">
        <v>3</v>
      </c>
      <c r="C15" s="4" t="s">
        <v>79</v>
      </c>
      <c r="D15" s="4" t="n">
        <v>2.5</v>
      </c>
      <c r="E15" s="4" t="n">
        <v>0.05</v>
      </c>
      <c r="F15" s="4" t="n">
        <v>8</v>
      </c>
      <c r="G15" s="4" t="n">
        <v>4</v>
      </c>
      <c r="H15" s="4" t="n">
        <v>1.25</v>
      </c>
      <c r="I15" s="4" t="n">
        <f aca="false">D15/(E15*Freq_Security_Limits!$C$4)</f>
        <v>1</v>
      </c>
      <c r="J15" s="4" t="n">
        <f aca="false">G15*D15</f>
        <v>10</v>
      </c>
      <c r="K15" s="4" t="n">
        <f aca="false">F15*D15</f>
        <v>20</v>
      </c>
    </row>
    <row r="16" customFormat="false" ht="15" hidden="false" customHeight="false" outlineLevel="0" collapsed="false">
      <c r="A16" s="4" t="s">
        <v>75</v>
      </c>
      <c r="B16" s="4" t="n">
        <v>3</v>
      </c>
      <c r="C16" s="4" t="s">
        <v>80</v>
      </c>
      <c r="D16" s="4" t="n">
        <v>1.5</v>
      </c>
      <c r="E16" s="4" t="n">
        <v>0.05</v>
      </c>
      <c r="F16" s="4" t="n">
        <v>8</v>
      </c>
      <c r="G16" s="4" t="n">
        <v>4</v>
      </c>
      <c r="H16" s="4" t="n">
        <v>0.75</v>
      </c>
      <c r="I16" s="4" t="n">
        <f aca="false">D16/(E16*Freq_Security_Limits!$C$4)</f>
        <v>0.6</v>
      </c>
      <c r="J16" s="4" t="n">
        <f aca="false">G16*D16</f>
        <v>6</v>
      </c>
      <c r="K16" s="4" t="n">
        <f aca="false">F16*D16</f>
        <v>12</v>
      </c>
    </row>
    <row r="17" customFormat="false" ht="15" hidden="false" customHeight="false" outlineLevel="0" collapsed="false">
      <c r="A17" s="4" t="s">
        <v>75</v>
      </c>
      <c r="B17" s="4" t="n">
        <v>4</v>
      </c>
      <c r="C17" s="4" t="s">
        <v>73</v>
      </c>
      <c r="D17" s="4" t="n">
        <v>3</v>
      </c>
      <c r="E17" s="4" t="n">
        <v>0.05</v>
      </c>
      <c r="F17" s="4" t="n">
        <v>8</v>
      </c>
      <c r="G17" s="4" t="n">
        <v>4</v>
      </c>
      <c r="H17" s="4" t="n">
        <v>1.5</v>
      </c>
      <c r="I17" s="4" t="n">
        <f aca="false">D17/(E17*Freq_Security_Limits!$C$4)</f>
        <v>1.2</v>
      </c>
      <c r="J17" s="4" t="n">
        <f aca="false">G17*D17</f>
        <v>12</v>
      </c>
      <c r="K17" s="4" t="n">
        <f aca="false">F17*D17</f>
        <v>24</v>
      </c>
    </row>
    <row r="18" customFormat="false" ht="15" hidden="false" customHeight="false" outlineLevel="0" collapsed="false">
      <c r="A18" s="4" t="s">
        <v>75</v>
      </c>
      <c r="B18" s="4" t="n">
        <v>4</v>
      </c>
      <c r="C18" s="4" t="s">
        <v>74</v>
      </c>
      <c r="D18" s="4" t="n">
        <v>2</v>
      </c>
      <c r="E18" s="4" t="n">
        <v>0.05</v>
      </c>
      <c r="F18" s="4" t="n">
        <v>8</v>
      </c>
      <c r="G18" s="4" t="n">
        <v>4</v>
      </c>
      <c r="H18" s="4" t="n">
        <v>1</v>
      </c>
      <c r="I18" s="4" t="n">
        <f aca="false">D18/(E18*Freq_Security_Limits!$C$4)</f>
        <v>0.8</v>
      </c>
      <c r="J18" s="4" t="n">
        <f aca="false">G18*D18</f>
        <v>8</v>
      </c>
      <c r="K18" s="4" t="n">
        <f aca="false">F18*D18</f>
        <v>16</v>
      </c>
    </row>
    <row r="19" customFormat="false" ht="15" hidden="false" customHeight="false" outlineLevel="0" collapsed="false">
      <c r="A19" s="4" t="s">
        <v>75</v>
      </c>
      <c r="B19" s="4" t="n">
        <v>5</v>
      </c>
      <c r="C19" s="4" t="s">
        <v>81</v>
      </c>
      <c r="D19" s="4" t="n">
        <v>2.5</v>
      </c>
      <c r="E19" s="4" t="n">
        <v>0.05</v>
      </c>
      <c r="F19" s="4" t="n">
        <v>8</v>
      </c>
      <c r="G19" s="4" t="n">
        <v>4</v>
      </c>
      <c r="H19" s="4" t="n">
        <v>1.25</v>
      </c>
      <c r="I19" s="4" t="n">
        <f aca="false">D19/(E19*Freq_Security_Limits!$C$4)</f>
        <v>1</v>
      </c>
      <c r="J19" s="4" t="n">
        <f aca="false">G19*D19</f>
        <v>10</v>
      </c>
      <c r="K19" s="4" t="n">
        <f aca="false">F19*D19</f>
        <v>20</v>
      </c>
    </row>
    <row r="20" customFormat="false" ht="15" hidden="false" customHeight="false" outlineLevel="0" collapsed="false">
      <c r="A20" s="4" t="s">
        <v>75</v>
      </c>
      <c r="B20" s="4" t="n">
        <v>5</v>
      </c>
      <c r="C20" s="4" t="s">
        <v>82</v>
      </c>
      <c r="D20" s="4" t="n">
        <v>2</v>
      </c>
      <c r="E20" s="4" t="n">
        <v>0.05</v>
      </c>
      <c r="F20" s="4" t="n">
        <v>8</v>
      </c>
      <c r="G20" s="4" t="n">
        <v>4</v>
      </c>
      <c r="H20" s="4" t="n">
        <v>1</v>
      </c>
      <c r="I20" s="4" t="n">
        <f aca="false">D20/(E20*Freq_Security_Limits!$C$4)</f>
        <v>0.8</v>
      </c>
      <c r="J20" s="4" t="n">
        <f aca="false">G20*D20</f>
        <v>8</v>
      </c>
      <c r="K20" s="4" t="n">
        <f aca="false">F20*D20</f>
        <v>16</v>
      </c>
    </row>
    <row r="21" customFormat="false" ht="15" hidden="false" customHeight="false" outlineLevel="0" collapsed="false">
      <c r="A21" s="4" t="s">
        <v>75</v>
      </c>
      <c r="B21" s="4" t="n">
        <v>5</v>
      </c>
      <c r="C21" s="4" t="s">
        <v>83</v>
      </c>
      <c r="D21" s="4" t="n">
        <v>1.5</v>
      </c>
      <c r="E21" s="4" t="n">
        <v>0.05</v>
      </c>
      <c r="F21" s="4" t="n">
        <v>8</v>
      </c>
      <c r="G21" s="4" t="n">
        <v>4</v>
      </c>
      <c r="H21" s="4" t="n">
        <v>0.75</v>
      </c>
      <c r="I21" s="4" t="n">
        <f aca="false">D21/(E21*Freq_Security_Limits!$C$4)</f>
        <v>0.6</v>
      </c>
      <c r="J21" s="4" t="n">
        <f aca="false">G21*D21</f>
        <v>6</v>
      </c>
      <c r="K21" s="4" t="n">
        <f aca="false">F21*D21</f>
        <v>12</v>
      </c>
    </row>
    <row r="22" customFormat="false" ht="15" hidden="false" customHeight="false" outlineLevel="0" collapsed="false">
      <c r="A22" s="4" t="s">
        <v>75</v>
      </c>
      <c r="B22" s="4" t="n">
        <v>6</v>
      </c>
      <c r="C22" s="4" t="s">
        <v>84</v>
      </c>
      <c r="D22" s="4" t="n">
        <v>2.5</v>
      </c>
      <c r="E22" s="4" t="n">
        <v>0.05</v>
      </c>
      <c r="F22" s="4" t="n">
        <v>8</v>
      </c>
      <c r="G22" s="4" t="n">
        <v>4</v>
      </c>
      <c r="H22" s="4" t="n">
        <v>1.25</v>
      </c>
      <c r="I22" s="4" t="n">
        <f aca="false">D22/(E22*Freq_Security_Limits!$C$4)</f>
        <v>1</v>
      </c>
      <c r="J22" s="4" t="n">
        <f aca="false">G22*D22</f>
        <v>10</v>
      </c>
      <c r="K22" s="4" t="n">
        <f aca="false">F22*D22</f>
        <v>20</v>
      </c>
    </row>
    <row r="23" customFormat="false" ht="15" hidden="false" customHeight="false" outlineLevel="0" collapsed="false">
      <c r="A23" s="4" t="s">
        <v>75</v>
      </c>
      <c r="B23" s="4" t="n">
        <v>6</v>
      </c>
      <c r="C23" s="4" t="s">
        <v>85</v>
      </c>
      <c r="D23" s="4" t="n">
        <v>1.5</v>
      </c>
      <c r="E23" s="4" t="n">
        <v>0.05</v>
      </c>
      <c r="F23" s="4" t="n">
        <v>8</v>
      </c>
      <c r="G23" s="4" t="n">
        <v>4</v>
      </c>
      <c r="H23" s="4" t="n">
        <v>0.75</v>
      </c>
      <c r="I23" s="4" t="n">
        <f aca="false">D23/(E23*Freq_Security_Limits!$C$4)</f>
        <v>0.6</v>
      </c>
      <c r="J23" s="4" t="n">
        <f aca="false">G23*D23</f>
        <v>6</v>
      </c>
      <c r="K23" s="4" t="n">
        <f aca="false">F23*D23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86</v>
      </c>
    </row>
    <row r="3" customFormat="false" ht="26.85" hidden="false" customHeight="false" outlineLevel="0" collapsed="false">
      <c r="A3" s="3" t="s">
        <v>58</v>
      </c>
      <c r="B3" s="3" t="s">
        <v>59</v>
      </c>
      <c r="C3" s="3" t="s">
        <v>27</v>
      </c>
      <c r="D3" s="3" t="s">
        <v>87</v>
      </c>
      <c r="E3" s="3" t="s">
        <v>88</v>
      </c>
      <c r="F3" s="3" t="s">
        <v>61</v>
      </c>
      <c r="G3" s="3" t="s">
        <v>89</v>
      </c>
      <c r="H3" s="3" t="s">
        <v>63</v>
      </c>
      <c r="I3" s="3" t="s">
        <v>65</v>
      </c>
    </row>
    <row r="4" customFormat="false" ht="15" hidden="false" customHeight="false" outlineLevel="0" collapsed="false">
      <c r="A4" s="4" t="s">
        <v>68</v>
      </c>
      <c r="B4" s="4" t="n">
        <v>1</v>
      </c>
      <c r="C4" s="4" t="s">
        <v>90</v>
      </c>
      <c r="D4" s="4" t="n">
        <v>1.8</v>
      </c>
      <c r="E4" s="4" t="n">
        <v>0.2</v>
      </c>
      <c r="F4" s="4" t="n">
        <v>0.05</v>
      </c>
      <c r="G4" s="4" t="n">
        <v>0.2</v>
      </c>
      <c r="H4" s="4" t="n">
        <v>0</v>
      </c>
      <c r="I4" s="4" t="n">
        <f aca="false">D4/(F4*Freq_Security_Limits!$C$4)</f>
        <v>0.72</v>
      </c>
    </row>
    <row r="5" customFormat="false" ht="15" hidden="false" customHeight="false" outlineLevel="0" collapsed="false">
      <c r="A5" s="4" t="s">
        <v>68</v>
      </c>
      <c r="B5" s="4" t="n">
        <v>2</v>
      </c>
      <c r="C5" s="4" t="s">
        <v>91</v>
      </c>
      <c r="D5" s="4" t="n">
        <v>2.7</v>
      </c>
      <c r="E5" s="4" t="n">
        <v>0.2</v>
      </c>
      <c r="F5" s="4" t="n">
        <v>0.05</v>
      </c>
      <c r="G5" s="4" t="n">
        <v>0.2</v>
      </c>
      <c r="H5" s="4" t="n">
        <v>0</v>
      </c>
      <c r="I5" s="4" t="n">
        <f aca="false">D5/(F5*Freq_Security_Limits!$C$4)</f>
        <v>1.08</v>
      </c>
    </row>
    <row r="6" customFormat="false" ht="15" hidden="false" customHeight="false" outlineLevel="0" collapsed="false">
      <c r="A6" s="4" t="s">
        <v>68</v>
      </c>
      <c r="B6" s="4" t="n">
        <v>3</v>
      </c>
      <c r="C6" s="4" t="s">
        <v>92</v>
      </c>
      <c r="D6" s="4" t="n">
        <v>2</v>
      </c>
      <c r="E6" s="4" t="n">
        <v>0.2</v>
      </c>
      <c r="F6" s="4" t="n">
        <v>0.05</v>
      </c>
      <c r="G6" s="4" t="n">
        <v>0.2</v>
      </c>
      <c r="H6" s="4" t="n">
        <v>0</v>
      </c>
      <c r="I6" s="4" t="n">
        <f aca="false">D6/(F6*Freq_Security_Limits!$C$4)</f>
        <v>0.8</v>
      </c>
    </row>
    <row r="7" customFormat="false" ht="15" hidden="false" customHeight="false" outlineLevel="0" collapsed="false">
      <c r="A7" s="4" t="s">
        <v>68</v>
      </c>
      <c r="B7" s="4" t="n">
        <v>4</v>
      </c>
      <c r="C7" s="4" t="s">
        <v>93</v>
      </c>
      <c r="D7" s="4" t="n">
        <v>1.6</v>
      </c>
      <c r="E7" s="4" t="n">
        <v>0.2</v>
      </c>
      <c r="F7" s="4" t="n">
        <v>0.05</v>
      </c>
      <c r="G7" s="4" t="n">
        <v>0.2</v>
      </c>
      <c r="H7" s="4" t="n">
        <v>0</v>
      </c>
      <c r="I7" s="4" t="n">
        <f aca="false">D7/(F7*Freq_Security_Limits!$C$4)</f>
        <v>0.64</v>
      </c>
    </row>
    <row r="8" customFormat="false" ht="15" hidden="false" customHeight="false" outlineLevel="0" collapsed="false">
      <c r="A8" s="4" t="s">
        <v>75</v>
      </c>
      <c r="B8" s="4" t="n">
        <v>1</v>
      </c>
      <c r="C8" s="4" t="s">
        <v>90</v>
      </c>
      <c r="D8" s="4" t="n">
        <v>3</v>
      </c>
      <c r="E8" s="4" t="n">
        <v>0.2</v>
      </c>
      <c r="F8" s="4" t="n">
        <v>0.05</v>
      </c>
      <c r="G8" s="4" t="n">
        <v>0.2</v>
      </c>
      <c r="H8" s="4" t="n">
        <v>0</v>
      </c>
      <c r="I8" s="4" t="n">
        <f aca="false">D8/(F8*Freq_Security_Limits!$C$4)</f>
        <v>1.2</v>
      </c>
    </row>
    <row r="9" customFormat="false" ht="15" hidden="false" customHeight="false" outlineLevel="0" collapsed="false">
      <c r="A9" s="4" t="s">
        <v>75</v>
      </c>
      <c r="B9" s="4" t="n">
        <v>2</v>
      </c>
      <c r="C9" s="4" t="s">
        <v>94</v>
      </c>
      <c r="D9" s="4" t="n">
        <v>2.5</v>
      </c>
      <c r="E9" s="4" t="n">
        <v>0.2</v>
      </c>
      <c r="F9" s="4" t="n">
        <v>0.05</v>
      </c>
      <c r="G9" s="4" t="n">
        <v>0.2</v>
      </c>
      <c r="H9" s="4" t="n">
        <v>0</v>
      </c>
      <c r="I9" s="4" t="n">
        <f aca="false">D9/(F9*Freq_Security_Limits!$C$4)</f>
        <v>1</v>
      </c>
    </row>
    <row r="10" customFormat="false" ht="15" hidden="false" customHeight="false" outlineLevel="0" collapsed="false">
      <c r="A10" s="4" t="s">
        <v>75</v>
      </c>
      <c r="B10" s="4" t="n">
        <v>2</v>
      </c>
      <c r="C10" s="4" t="s">
        <v>95</v>
      </c>
      <c r="D10" s="4" t="n">
        <v>2</v>
      </c>
      <c r="E10" s="4" t="n">
        <v>0.2</v>
      </c>
      <c r="F10" s="4" t="n">
        <v>0.05</v>
      </c>
      <c r="G10" s="4" t="n">
        <v>0.2</v>
      </c>
      <c r="H10" s="4" t="n">
        <v>0</v>
      </c>
      <c r="I10" s="4" t="n">
        <f aca="false">D10/(F10*Freq_Security_Limits!$C$4)</f>
        <v>0.8</v>
      </c>
    </row>
    <row r="11" customFormat="false" ht="15" hidden="false" customHeight="false" outlineLevel="0" collapsed="false">
      <c r="A11" s="4" t="s">
        <v>75</v>
      </c>
      <c r="B11" s="4" t="n">
        <v>3</v>
      </c>
      <c r="C11" s="4" t="s">
        <v>92</v>
      </c>
      <c r="D11" s="4" t="n">
        <v>2.5</v>
      </c>
      <c r="E11" s="4" t="n">
        <v>0.2</v>
      </c>
      <c r="F11" s="4" t="n">
        <v>0.05</v>
      </c>
      <c r="G11" s="4" t="n">
        <v>0.2</v>
      </c>
      <c r="H11" s="4" t="n">
        <v>0</v>
      </c>
      <c r="I11" s="4" t="n">
        <f aca="false">D11/(F11*Freq_Security_Limits!$C$4)</f>
        <v>1</v>
      </c>
    </row>
    <row r="12" customFormat="false" ht="15" hidden="false" customHeight="false" outlineLevel="0" collapsed="false">
      <c r="A12" s="4" t="s">
        <v>75</v>
      </c>
      <c r="B12" s="4" t="n">
        <v>4</v>
      </c>
      <c r="C12" s="4" t="s">
        <v>93</v>
      </c>
      <c r="D12" s="4" t="n">
        <v>3</v>
      </c>
      <c r="E12" s="4" t="n">
        <v>0.2</v>
      </c>
      <c r="F12" s="4" t="n">
        <v>0.05</v>
      </c>
      <c r="G12" s="4" t="n">
        <v>0.2</v>
      </c>
      <c r="H12" s="4" t="n">
        <v>0</v>
      </c>
      <c r="I12" s="4" t="n">
        <f aca="false">D12/(F12*Freq_Security_Limits!$C$4)</f>
        <v>1.2</v>
      </c>
    </row>
    <row r="13" customFormat="false" ht="15" hidden="false" customHeight="false" outlineLevel="0" collapsed="false">
      <c r="A13" s="4" t="s">
        <v>75</v>
      </c>
      <c r="B13" s="4" t="n">
        <v>5</v>
      </c>
      <c r="C13" s="4" t="s">
        <v>96</v>
      </c>
      <c r="D13" s="4" t="n">
        <v>2.5</v>
      </c>
      <c r="E13" s="4" t="n">
        <v>0.2</v>
      </c>
      <c r="F13" s="4" t="n">
        <v>0.05</v>
      </c>
      <c r="G13" s="4" t="n">
        <v>0.2</v>
      </c>
      <c r="H13" s="4" t="n">
        <v>0</v>
      </c>
      <c r="I13" s="4" t="n">
        <f aca="false">D13/(F13*Freq_Security_Limits!$C$4)</f>
        <v>1</v>
      </c>
    </row>
    <row r="14" customFormat="false" ht="15" hidden="false" customHeight="false" outlineLevel="0" collapsed="false">
      <c r="A14" s="4" t="s">
        <v>75</v>
      </c>
      <c r="B14" s="4" t="n">
        <v>5</v>
      </c>
      <c r="C14" s="4" t="s">
        <v>97</v>
      </c>
      <c r="D14" s="4" t="n">
        <v>1.5</v>
      </c>
      <c r="E14" s="4" t="n">
        <v>0.2</v>
      </c>
      <c r="F14" s="4" t="n">
        <v>0.05</v>
      </c>
      <c r="G14" s="4" t="n">
        <v>0.2</v>
      </c>
      <c r="H14" s="4" t="n">
        <v>0</v>
      </c>
      <c r="I14" s="4" t="n">
        <f aca="false">D14/(F14*Freq_Security_Limits!$C$4)</f>
        <v>0.6</v>
      </c>
    </row>
    <row r="15" customFormat="false" ht="15" hidden="false" customHeight="false" outlineLevel="0" collapsed="false">
      <c r="A15" s="4" t="s">
        <v>75</v>
      </c>
      <c r="B15" s="4" t="n">
        <v>6</v>
      </c>
      <c r="C15" s="4" t="s">
        <v>98</v>
      </c>
      <c r="D15" s="4" t="n">
        <v>2.5</v>
      </c>
      <c r="E15" s="4" t="n">
        <v>0.2</v>
      </c>
      <c r="F15" s="4" t="n">
        <v>0.05</v>
      </c>
      <c r="G15" s="4" t="n">
        <v>0.2</v>
      </c>
      <c r="H15" s="4" t="n">
        <v>0</v>
      </c>
      <c r="I15" s="4" t="n">
        <f aca="false">D15/(F15*Freq_Security_Limits!$C$4)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7" min="5" style="0" width="8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16"/>
  </cols>
  <sheetData>
    <row r="1" customFormat="false" ht="16.15" hidden="false" customHeight="false" outlineLevel="0" collapsed="false">
      <c r="A1" s="1" t="s">
        <v>99</v>
      </c>
    </row>
    <row r="3" customFormat="false" ht="26.85" hidden="false" customHeight="false" outlineLevel="0" collapsed="false">
      <c r="A3" s="3" t="s">
        <v>58</v>
      </c>
      <c r="B3" s="3" t="s">
        <v>100</v>
      </c>
      <c r="C3" s="3" t="s">
        <v>101</v>
      </c>
      <c r="D3" s="3" t="s">
        <v>102</v>
      </c>
      <c r="E3" s="3" t="s">
        <v>103</v>
      </c>
      <c r="F3" s="3" t="s">
        <v>104</v>
      </c>
      <c r="G3" s="3" t="s">
        <v>105</v>
      </c>
      <c r="H3" s="3" t="s">
        <v>106</v>
      </c>
      <c r="I3" s="3" t="s">
        <v>107</v>
      </c>
      <c r="J3" s="3" t="s">
        <v>108</v>
      </c>
      <c r="K3" s="3" t="s">
        <v>64</v>
      </c>
      <c r="L3" s="3" t="s">
        <v>109</v>
      </c>
      <c r="M3" s="3" t="s">
        <v>110</v>
      </c>
      <c r="N3" s="3" t="s">
        <v>111</v>
      </c>
    </row>
    <row r="4" customFormat="false" ht="15" hidden="false" customHeight="false" outlineLevel="0" collapsed="false">
      <c r="A4" s="4" t="s">
        <v>68</v>
      </c>
      <c r="B4" s="4" t="n">
        <v>5</v>
      </c>
      <c r="C4" s="4" t="n">
        <v>0.5</v>
      </c>
      <c r="D4" s="4" t="n">
        <v>2</v>
      </c>
      <c r="E4" s="4" t="n">
        <v>0.95</v>
      </c>
      <c r="F4" s="4" t="n">
        <v>0.95</v>
      </c>
      <c r="G4" s="4" t="n">
        <v>6</v>
      </c>
      <c r="H4" s="4" t="n">
        <v>0.04</v>
      </c>
      <c r="I4" s="4" t="n">
        <v>0.05</v>
      </c>
      <c r="J4" s="4" t="n">
        <v>0.15</v>
      </c>
      <c r="K4" s="4" t="n">
        <v>1.6</v>
      </c>
      <c r="L4" s="4" t="n">
        <v>4</v>
      </c>
      <c r="M4" s="4" t="n">
        <f aca="false">D4/(H4*Freq_Security_Limits!$C$4)</f>
        <v>1</v>
      </c>
      <c r="N4" s="4" t="n">
        <f aca="false">G4*D4</f>
        <v>12</v>
      </c>
    </row>
    <row r="5" customFormat="false" ht="15" hidden="false" customHeight="false" outlineLevel="0" collapsed="false">
      <c r="A5" s="4" t="s">
        <v>75</v>
      </c>
      <c r="B5" s="4" t="n">
        <v>10</v>
      </c>
      <c r="C5" s="4" t="n">
        <v>1</v>
      </c>
      <c r="D5" s="4" t="n">
        <v>3</v>
      </c>
      <c r="E5" s="4" t="n">
        <v>0.95</v>
      </c>
      <c r="F5" s="4" t="n">
        <v>0.95</v>
      </c>
      <c r="G5" s="4" t="n">
        <v>6</v>
      </c>
      <c r="H5" s="4" t="n">
        <v>0.04</v>
      </c>
      <c r="I5" s="4" t="n">
        <v>0.05</v>
      </c>
      <c r="J5" s="4" t="n">
        <v>0.15</v>
      </c>
      <c r="K5" s="4" t="n">
        <v>3.2</v>
      </c>
      <c r="L5" s="4" t="n">
        <v>6</v>
      </c>
      <c r="M5" s="4" t="n">
        <f aca="false">D5/(H5*Freq_Security_Limits!$C$4)</f>
        <v>1.5</v>
      </c>
      <c r="N5" s="4" t="n">
        <f aca="false">G5*D5</f>
        <v>18</v>
      </c>
    </row>
    <row r="7" customFormat="false" ht="15" hidden="false" customHeight="false" outlineLevel="0" collapsed="false">
      <c r="A7" s="5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" t="s">
        <v>113</v>
      </c>
    </row>
    <row r="3" customFormat="false" ht="26.85" hidden="false" customHeight="false" outlineLevel="0" collapsed="false">
      <c r="A3" s="3" t="s">
        <v>58</v>
      </c>
      <c r="B3" s="3" t="s">
        <v>59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  <c r="H3" s="3" t="s">
        <v>119</v>
      </c>
      <c r="I3" s="3" t="s">
        <v>120</v>
      </c>
      <c r="J3" s="3" t="s">
        <v>121</v>
      </c>
      <c r="K3" s="3" t="s">
        <v>122</v>
      </c>
      <c r="L3" s="3" t="s">
        <v>123</v>
      </c>
      <c r="M3" s="3" t="s">
        <v>124</v>
      </c>
      <c r="N3" s="3" t="s">
        <v>125</v>
      </c>
    </row>
    <row r="4" customFormat="false" ht="15" hidden="false" customHeight="false" outlineLevel="0" collapsed="false">
      <c r="A4" s="4" t="s">
        <v>68</v>
      </c>
      <c r="B4" s="4" t="n">
        <v>1</v>
      </c>
      <c r="C4" s="4" t="n">
        <v>2.4</v>
      </c>
      <c r="D4" s="4" t="n">
        <f aca="false">Freq_Security_Limits!$C$9*C4</f>
        <v>2.4</v>
      </c>
      <c r="E4" s="4" t="n">
        <f aca="false">SUMIFS(SG_PFR!$K$4:$K$23,SG_PFR!$A$4:$A$23,$A4,SG_PFR!$B$4:$B$23,$B4)/SUMIFS(SG_PFR!$D$4:$D$23,SG_PFR!$A$4:$A$23,$A4,SG_PFR!$B$4:$B$23,$B4)</f>
        <v>8</v>
      </c>
      <c r="F4" s="4" t="n">
        <f aca="false">SUMIFS(SG_PFR!$J$4:$J$23,SG_PFR!$A$4:$A$23,$A4,SG_PFR!$B$4:$B$23,$B4)</f>
        <v>14</v>
      </c>
      <c r="G4" s="4" t="n">
        <f aca="false">SUMIFS(ESS_PFR!$N$4:$N$5,ESS_PFR!$A$4:$A$5,$A4)/SUMIFS(ESS_PFR!$L$4:$L$5,ESS_PFR!$A$4:$A$5,$A4)</f>
        <v>3</v>
      </c>
      <c r="H4" s="4" t="n">
        <f aca="false">MAX(0.5*F4+G4,1)</f>
        <v>10</v>
      </c>
      <c r="I4" s="4" t="n">
        <f aca="false">SUMIFS(SG_PFR!$I$4:$I$23,SG_PFR!$A$4:$A$23,$A4,SG_PFR!$B$4:$B$23,$B4)+SUMIFS(WT_PFR!$I$4:$I$15,WT_PFR!$A$4:$A$15,$A4,WT_PFR!$B$4:$B$15,$B4)+SUMIFS(ESS_PFR!$M$4:$M$5,ESS_PFR!$A$4:$A$5,$A4)/SUMIFS(ESS_PFR!$L$4:$L$5,ESS_PFR!$A$4:$A$5,$A4)</f>
        <v>2.37</v>
      </c>
      <c r="J4" s="4" t="n">
        <f aca="false">D4+I4</f>
        <v>4.77</v>
      </c>
      <c r="K4" s="4" t="n">
        <f aca="false">(1+SQRT(E4/(2*H4)))/J4</f>
        <v>0.342233864158003</v>
      </c>
      <c r="L4" s="4" t="n">
        <f aca="false">0.2*C4</f>
        <v>0.48</v>
      </c>
      <c r="M4" s="4" t="n">
        <f aca="false">(L4/D4)*(1+SQRT(E4/(2*H4)))</f>
        <v>0.326491106406735</v>
      </c>
      <c r="N4" s="4" t="n">
        <f aca="false">Freq_Security_Limits!$C$4-M4</f>
        <v>49.6735088935933</v>
      </c>
    </row>
    <row r="5" customFormat="false" ht="15" hidden="false" customHeight="false" outlineLevel="0" collapsed="false">
      <c r="A5" s="4" t="s">
        <v>68</v>
      </c>
      <c r="B5" s="4" t="n">
        <v>2</v>
      </c>
      <c r="C5" s="4" t="n">
        <v>3</v>
      </c>
      <c r="D5" s="4" t="n">
        <f aca="false">Freq_Security_Limits!$C$9*C5</f>
        <v>3</v>
      </c>
      <c r="E5" s="4" t="n">
        <f aca="false">SUMIFS(SG_PFR!$K$4:$K$23,SG_PFR!$A$4:$A$23,$A5,SG_PFR!$B$4:$B$23,$B5)/SUMIFS(SG_PFR!$D$4:$D$23,SG_PFR!$A$4:$A$23,$A5,SG_PFR!$B$4:$B$23,$B5)</f>
        <v>8</v>
      </c>
      <c r="F5" s="4" t="n">
        <f aca="false">SUMIFS(SG_PFR!$J$4:$J$23,SG_PFR!$A$4:$A$23,$A5,SG_PFR!$B$4:$B$23,$B5)</f>
        <v>20</v>
      </c>
      <c r="G5" s="4" t="n">
        <f aca="false">SUMIFS(ESS_PFR!$N$4:$N$5,ESS_PFR!$A$4:$A$5,$A5)/SUMIFS(ESS_PFR!$L$4:$L$5,ESS_PFR!$A$4:$A$5,$A5)</f>
        <v>3</v>
      </c>
      <c r="H5" s="4" t="n">
        <f aca="false">MAX(0.5*F5+G5,1)</f>
        <v>13</v>
      </c>
      <c r="I5" s="4" t="n">
        <f aca="false">SUMIFS(SG_PFR!$I$4:$I$23,SG_PFR!$A$4:$A$23,$A5,SG_PFR!$B$4:$B$23,$B5)+SUMIFS(WT_PFR!$I$4:$I$15,WT_PFR!$A$4:$A$15,$A5,WT_PFR!$B$4:$B$15,$B5)+SUMIFS(ESS_PFR!$M$4:$M$5,ESS_PFR!$A$4:$A$5,$A5)/SUMIFS(ESS_PFR!$L$4:$L$5,ESS_PFR!$A$4:$A$5,$A5)</f>
        <v>3.33</v>
      </c>
      <c r="J5" s="4" t="n">
        <f aca="false">D5+I5</f>
        <v>6.33</v>
      </c>
      <c r="K5" s="4" t="n">
        <f aca="false">(1+SQRT(E5/(2*H5)))/J5</f>
        <v>0.245608245849167</v>
      </c>
      <c r="L5" s="4" t="n">
        <f aca="false">0.2*C5</f>
        <v>0.6</v>
      </c>
      <c r="M5" s="4" t="n">
        <f aca="false">(L5/D5)*(1+SQRT(E5/(2*H5)))</f>
        <v>0.310940039245046</v>
      </c>
      <c r="N5" s="4" t="n">
        <f aca="false">Freq_Security_Limits!$C$4-M5</f>
        <v>49.689059960755</v>
      </c>
    </row>
    <row r="6" customFormat="false" ht="15" hidden="false" customHeight="false" outlineLevel="0" collapsed="false">
      <c r="A6" s="4" t="s">
        <v>68</v>
      </c>
      <c r="B6" s="4" t="n">
        <v>3</v>
      </c>
      <c r="C6" s="4" t="n">
        <v>1.8</v>
      </c>
      <c r="D6" s="4" t="n">
        <f aca="false">Freq_Security_Limits!$C$9*C6</f>
        <v>1.8</v>
      </c>
      <c r="E6" s="4" t="n">
        <f aca="false">SUMIFS(SG_PFR!$K$4:$K$23,SG_PFR!$A$4:$A$23,$A6,SG_PFR!$B$4:$B$23,$B6)/SUMIFS(SG_PFR!$D$4:$D$23,SG_PFR!$A$4:$A$23,$A6,SG_PFR!$B$4:$B$23,$B6)</f>
        <v>8</v>
      </c>
      <c r="F6" s="4" t="n">
        <f aca="false">SUMIFS(SG_PFR!$J$4:$J$23,SG_PFR!$A$4:$A$23,$A6,SG_PFR!$B$4:$B$23,$B6)</f>
        <v>12</v>
      </c>
      <c r="G6" s="4" t="n">
        <f aca="false">SUMIFS(ESS_PFR!$N$4:$N$5,ESS_PFR!$A$4:$A$5,$A6)/SUMIFS(ESS_PFR!$L$4:$L$5,ESS_PFR!$A$4:$A$5,$A6)</f>
        <v>3</v>
      </c>
      <c r="H6" s="4" t="n">
        <f aca="false">MAX(0.5*F6+G6,1)</f>
        <v>9</v>
      </c>
      <c r="I6" s="4" t="n">
        <f aca="false">SUMIFS(SG_PFR!$I$4:$I$23,SG_PFR!$A$4:$A$23,$A6,SG_PFR!$B$4:$B$23,$B6)+SUMIFS(WT_PFR!$I$4:$I$15,WT_PFR!$A$4:$A$15,$A6,WT_PFR!$B$4:$B$15,$B6)+SUMIFS(ESS_PFR!$M$4:$M$5,ESS_PFR!$A$4:$A$5,$A6)/SUMIFS(ESS_PFR!$L$4:$L$5,ESS_PFR!$A$4:$A$5,$A6)</f>
        <v>2.25</v>
      </c>
      <c r="J6" s="4" t="n">
        <f aca="false">D6+I6</f>
        <v>4.05</v>
      </c>
      <c r="K6" s="4" t="n">
        <f aca="false">(1+SQRT(E6/(2*H6)))/J6</f>
        <v>0.411522633744856</v>
      </c>
      <c r="L6" s="4" t="n">
        <f aca="false">0.2*C6</f>
        <v>0.36</v>
      </c>
      <c r="M6" s="4" t="n">
        <f aca="false">(L6/D6)*(1+SQRT(E6/(2*H6)))</f>
        <v>0.333333333333333</v>
      </c>
      <c r="N6" s="4" t="n">
        <f aca="false">Freq_Security_Limits!$C$4-M6</f>
        <v>49.6666666666667</v>
      </c>
    </row>
    <row r="7" customFormat="false" ht="15" hidden="false" customHeight="false" outlineLevel="0" collapsed="false">
      <c r="A7" s="4" t="s">
        <v>68</v>
      </c>
      <c r="B7" s="4" t="n">
        <v>4</v>
      </c>
      <c r="C7" s="4" t="n">
        <v>2.6</v>
      </c>
      <c r="D7" s="4" t="n">
        <f aca="false">Freq_Security_Limits!$C$9*C7</f>
        <v>2.6</v>
      </c>
      <c r="E7" s="4" t="n">
        <f aca="false">SUMIFS(SG_PFR!$K$4:$K$23,SG_PFR!$A$4:$A$23,$A7,SG_PFR!$B$4:$B$23,$B7)/SUMIFS(SG_PFR!$D$4:$D$23,SG_PFR!$A$4:$A$23,$A7,SG_PFR!$B$4:$B$23,$B7)</f>
        <v>8</v>
      </c>
      <c r="F7" s="4" t="n">
        <f aca="false">SUMIFS(SG_PFR!$J$4:$J$23,SG_PFR!$A$4:$A$23,$A7,SG_PFR!$B$4:$B$23,$B7)</f>
        <v>14.4</v>
      </c>
      <c r="G7" s="4" t="n">
        <f aca="false">SUMIFS(ESS_PFR!$N$4:$N$5,ESS_PFR!$A$4:$A$5,$A7)/SUMIFS(ESS_PFR!$L$4:$L$5,ESS_PFR!$A$4:$A$5,$A7)</f>
        <v>3</v>
      </c>
      <c r="H7" s="4" t="n">
        <f aca="false">MAX(0.5*F7+G7,1)</f>
        <v>10.2</v>
      </c>
      <c r="I7" s="4" t="n">
        <f aca="false">SUMIFS(SG_PFR!$I$4:$I$23,SG_PFR!$A$4:$A$23,$A7,SG_PFR!$B$4:$B$23,$B7)+SUMIFS(WT_PFR!$I$4:$I$15,WT_PFR!$A$4:$A$15,$A7,WT_PFR!$B$4:$B$15,$B7)+SUMIFS(ESS_PFR!$M$4:$M$5,ESS_PFR!$A$4:$A$5,$A7)/SUMIFS(ESS_PFR!$L$4:$L$5,ESS_PFR!$A$4:$A$5,$A7)</f>
        <v>2.33</v>
      </c>
      <c r="J7" s="4" t="n">
        <f aca="false">D7+I7</f>
        <v>4.93</v>
      </c>
      <c r="K7" s="4" t="n">
        <f aca="false">(1+SQRT(E7/(2*H7)))/J7</f>
        <v>0.329862939368185</v>
      </c>
      <c r="L7" s="4" t="n">
        <f aca="false">0.2*C7</f>
        <v>0.52</v>
      </c>
      <c r="M7" s="4" t="n">
        <f aca="false">(L7/D7)*(1+SQRT(E7/(2*H7)))</f>
        <v>0.32524485821703</v>
      </c>
      <c r="N7" s="4" t="n">
        <f aca="false">Freq_Security_Limits!$C$4-M7</f>
        <v>49.674755141783</v>
      </c>
    </row>
    <row r="8" customFormat="false" ht="15" hidden="false" customHeight="false" outlineLevel="0" collapsed="false">
      <c r="A8" s="4" t="s">
        <v>75</v>
      </c>
      <c r="B8" s="4" t="n">
        <v>1</v>
      </c>
      <c r="C8" s="4" t="n">
        <v>5</v>
      </c>
      <c r="D8" s="4" t="n">
        <f aca="false">Freq_Security_Limits!$C$9*C8</f>
        <v>5</v>
      </c>
      <c r="E8" s="4" t="n">
        <f aca="false">SUMIFS(SG_PFR!$K$4:$K$23,SG_PFR!$A$4:$A$23,$A8,SG_PFR!$B$4:$B$23,$B8)/SUMIFS(SG_PFR!$D$4:$D$23,SG_PFR!$A$4:$A$23,$A8,SG_PFR!$B$4:$B$23,$B8)</f>
        <v>8</v>
      </c>
      <c r="F8" s="4" t="n">
        <f aca="false">SUMIFS(SG_PFR!$J$4:$J$23,SG_PFR!$A$4:$A$23,$A8,SG_PFR!$B$4:$B$23,$B8)</f>
        <v>20</v>
      </c>
      <c r="G8" s="4" t="n">
        <f aca="false">SUMIFS(ESS_PFR!$N$4:$N$5,ESS_PFR!$A$4:$A$5,$A8)/SUMIFS(ESS_PFR!$L$4:$L$5,ESS_PFR!$A$4:$A$5,$A8)</f>
        <v>3</v>
      </c>
      <c r="H8" s="4" t="n">
        <f aca="false">MAX(0.5*F8+G8,1)</f>
        <v>13</v>
      </c>
      <c r="I8" s="4" t="n">
        <f aca="false">SUMIFS(SG_PFR!$I$4:$I$23,SG_PFR!$A$4:$A$23,$A8,SG_PFR!$B$4:$B$23,$B8)+SUMIFS(WT_PFR!$I$4:$I$15,WT_PFR!$A$4:$A$15,$A8,WT_PFR!$B$4:$B$15,$B8)+SUMIFS(ESS_PFR!$M$4:$M$5,ESS_PFR!$A$4:$A$5,$A8)/SUMIFS(ESS_PFR!$L$4:$L$5,ESS_PFR!$A$4:$A$5,$A8)</f>
        <v>3.45</v>
      </c>
      <c r="J8" s="4" t="n">
        <f aca="false">D8+I8</f>
        <v>8.45</v>
      </c>
      <c r="K8" s="4" t="n">
        <f aca="false">(1+SQRT(E8/(2*H8)))/J8</f>
        <v>0.183988188902394</v>
      </c>
      <c r="L8" s="4" t="n">
        <f aca="false">0.2*C8</f>
        <v>1</v>
      </c>
      <c r="M8" s="4" t="n">
        <f aca="false">(L8/D8)*(1+SQRT(E8/(2*H8)))</f>
        <v>0.310940039245046</v>
      </c>
      <c r="N8" s="4" t="n">
        <f aca="false">Freq_Security_Limits!$C$4-M8</f>
        <v>49.689059960755</v>
      </c>
    </row>
    <row r="9" customFormat="false" ht="15" hidden="false" customHeight="false" outlineLevel="0" collapsed="false">
      <c r="A9" s="4" t="s">
        <v>75</v>
      </c>
      <c r="B9" s="4" t="n">
        <v>2</v>
      </c>
      <c r="C9" s="4" t="n">
        <v>5.5</v>
      </c>
      <c r="D9" s="4" t="n">
        <f aca="false">Freq_Security_Limits!$C$9*C9</f>
        <v>5.5</v>
      </c>
      <c r="E9" s="4" t="n">
        <f aca="false">SUMIFS(SG_PFR!$K$4:$K$23,SG_PFR!$A$4:$A$23,$A9,SG_PFR!$B$4:$B$23,$B9)/SUMIFS(SG_PFR!$D$4:$D$23,SG_PFR!$A$4:$A$23,$A9,SG_PFR!$B$4:$B$23,$B9)</f>
        <v>8</v>
      </c>
      <c r="F9" s="4" t="n">
        <f aca="false">SUMIFS(SG_PFR!$J$4:$J$23,SG_PFR!$A$4:$A$23,$A9,SG_PFR!$B$4:$B$23,$B9)</f>
        <v>26</v>
      </c>
      <c r="G9" s="4" t="n">
        <f aca="false">SUMIFS(ESS_PFR!$N$4:$N$5,ESS_PFR!$A$4:$A$5,$A9)/SUMIFS(ESS_PFR!$L$4:$L$5,ESS_PFR!$A$4:$A$5,$A9)</f>
        <v>3</v>
      </c>
      <c r="H9" s="4" t="n">
        <f aca="false">MAX(0.5*F9+G9,1)</f>
        <v>16</v>
      </c>
      <c r="I9" s="4" t="n">
        <f aca="false">SUMIFS(SG_PFR!$I$4:$I$23,SG_PFR!$A$4:$A$23,$A9,SG_PFR!$B$4:$B$23,$B9)+SUMIFS(WT_PFR!$I$4:$I$15,WT_PFR!$A$4:$A$15,$A9,WT_PFR!$B$4:$B$15,$B9)+SUMIFS(ESS_PFR!$M$4:$M$5,ESS_PFR!$A$4:$A$5,$A9)/SUMIFS(ESS_PFR!$L$4:$L$5,ESS_PFR!$A$4:$A$5,$A9)</f>
        <v>4.65</v>
      </c>
      <c r="J9" s="4" t="n">
        <f aca="false">D9+I9</f>
        <v>10.15</v>
      </c>
      <c r="K9" s="4" t="n">
        <f aca="false">(1+SQRT(E9/(2*H9)))/J9</f>
        <v>0.147783251231527</v>
      </c>
      <c r="L9" s="4" t="n">
        <f aca="false">0.2*C9</f>
        <v>1.1</v>
      </c>
      <c r="M9" s="4" t="n">
        <f aca="false">(L9/D9)*(1+SQRT(E9/(2*H9)))</f>
        <v>0.3</v>
      </c>
      <c r="N9" s="4" t="n">
        <f aca="false">Freq_Security_Limits!$C$4-M9</f>
        <v>49.7</v>
      </c>
    </row>
    <row r="10" customFormat="false" ht="15" hidden="false" customHeight="false" outlineLevel="0" collapsed="false">
      <c r="A10" s="4" t="s">
        <v>75</v>
      </c>
      <c r="B10" s="4" t="n">
        <v>3</v>
      </c>
      <c r="C10" s="4" t="n">
        <v>4</v>
      </c>
      <c r="D10" s="4" t="n">
        <f aca="false">Freq_Security_Limits!$C$9*C10</f>
        <v>4</v>
      </c>
      <c r="E10" s="4" t="n">
        <f aca="false">SUMIFS(SG_PFR!$K$4:$K$23,SG_PFR!$A$4:$A$23,$A10,SG_PFR!$B$4:$B$23,$B10)/SUMIFS(SG_PFR!$D$4:$D$23,SG_PFR!$A$4:$A$23,$A10,SG_PFR!$B$4:$B$23,$B10)</f>
        <v>8</v>
      </c>
      <c r="F10" s="4" t="n">
        <f aca="false">SUMIFS(SG_PFR!$J$4:$J$23,SG_PFR!$A$4:$A$23,$A10,SG_PFR!$B$4:$B$23,$B10)</f>
        <v>16</v>
      </c>
      <c r="G10" s="4" t="n">
        <f aca="false">SUMIFS(ESS_PFR!$N$4:$N$5,ESS_PFR!$A$4:$A$5,$A10)/SUMIFS(ESS_PFR!$L$4:$L$5,ESS_PFR!$A$4:$A$5,$A10)</f>
        <v>3</v>
      </c>
      <c r="H10" s="4" t="n">
        <f aca="false">MAX(0.5*F10+G10,1)</f>
        <v>11</v>
      </c>
      <c r="I10" s="4" t="n">
        <f aca="false">SUMIFS(SG_PFR!$I$4:$I$23,SG_PFR!$A$4:$A$23,$A10,SG_PFR!$B$4:$B$23,$B10)+SUMIFS(WT_PFR!$I$4:$I$15,WT_PFR!$A$4:$A$15,$A10,WT_PFR!$B$4:$B$15,$B10)+SUMIFS(ESS_PFR!$M$4:$M$5,ESS_PFR!$A$4:$A$5,$A10)/SUMIFS(ESS_PFR!$L$4:$L$5,ESS_PFR!$A$4:$A$5,$A10)</f>
        <v>2.85</v>
      </c>
      <c r="J10" s="4" t="n">
        <f aca="false">D10+I10</f>
        <v>6.85</v>
      </c>
      <c r="K10" s="4" t="n">
        <f aca="false">(1+SQRT(E10/(2*H10)))/J10</f>
        <v>0.234017910825624</v>
      </c>
      <c r="L10" s="4" t="n">
        <f aca="false">0.2*C10</f>
        <v>0.8</v>
      </c>
      <c r="M10" s="4" t="n">
        <f aca="false">(L10/D10)*(1+SQRT(E10/(2*H10)))</f>
        <v>0.320604537831106</v>
      </c>
      <c r="N10" s="4" t="n">
        <f aca="false">Freq_Security_Limits!$C$4-M10</f>
        <v>49.6793954621689</v>
      </c>
    </row>
    <row r="11" customFormat="false" ht="15" hidden="false" customHeight="false" outlineLevel="0" collapsed="false">
      <c r="A11" s="4" t="s">
        <v>75</v>
      </c>
      <c r="B11" s="4" t="n">
        <v>4</v>
      </c>
      <c r="C11" s="4" t="n">
        <v>5</v>
      </c>
      <c r="D11" s="4" t="n">
        <f aca="false">Freq_Security_Limits!$C$9*C11</f>
        <v>5</v>
      </c>
      <c r="E11" s="4" t="n">
        <f aca="false">SUMIFS(SG_PFR!$K$4:$K$23,SG_PFR!$A$4:$A$23,$A11,SG_PFR!$B$4:$B$23,$B11)/SUMIFS(SG_PFR!$D$4:$D$23,SG_PFR!$A$4:$A$23,$A11,SG_PFR!$B$4:$B$23,$B11)</f>
        <v>8</v>
      </c>
      <c r="F11" s="4" t="n">
        <f aca="false">SUMIFS(SG_PFR!$J$4:$J$23,SG_PFR!$A$4:$A$23,$A11,SG_PFR!$B$4:$B$23,$B11)</f>
        <v>20</v>
      </c>
      <c r="G11" s="4" t="n">
        <f aca="false">SUMIFS(ESS_PFR!$N$4:$N$5,ESS_PFR!$A$4:$A$5,$A11)/SUMIFS(ESS_PFR!$L$4:$L$5,ESS_PFR!$A$4:$A$5,$A11)</f>
        <v>3</v>
      </c>
      <c r="H11" s="4" t="n">
        <f aca="false">MAX(0.5*F11+G11,1)</f>
        <v>13</v>
      </c>
      <c r="I11" s="4" t="n">
        <f aca="false">SUMIFS(SG_PFR!$I$4:$I$23,SG_PFR!$A$4:$A$23,$A11,SG_PFR!$B$4:$B$23,$B11)+SUMIFS(WT_PFR!$I$4:$I$15,WT_PFR!$A$4:$A$15,$A11,WT_PFR!$B$4:$B$15,$B11)+SUMIFS(ESS_PFR!$M$4:$M$5,ESS_PFR!$A$4:$A$5,$A11)/SUMIFS(ESS_PFR!$L$4:$L$5,ESS_PFR!$A$4:$A$5,$A11)</f>
        <v>3.45</v>
      </c>
      <c r="J11" s="4" t="n">
        <f aca="false">D11+I11</f>
        <v>8.45</v>
      </c>
      <c r="K11" s="4" t="n">
        <f aca="false">(1+SQRT(E11/(2*H11)))/J11</f>
        <v>0.183988188902394</v>
      </c>
      <c r="L11" s="4" t="n">
        <f aca="false">0.2*C11</f>
        <v>1</v>
      </c>
      <c r="M11" s="4" t="n">
        <f aca="false">(L11/D11)*(1+SQRT(E11/(2*H11)))</f>
        <v>0.310940039245046</v>
      </c>
      <c r="N11" s="4" t="n">
        <f aca="false">Freq_Security_Limits!$C$4-M11</f>
        <v>49.689059960755</v>
      </c>
    </row>
    <row r="12" customFormat="false" ht="15" hidden="false" customHeight="false" outlineLevel="0" collapsed="false">
      <c r="A12" s="4" t="s">
        <v>75</v>
      </c>
      <c r="B12" s="4" t="n">
        <v>5</v>
      </c>
      <c r="C12" s="4" t="n">
        <v>4.5</v>
      </c>
      <c r="D12" s="4" t="n">
        <f aca="false">Freq_Security_Limits!$C$9*C12</f>
        <v>4.5</v>
      </c>
      <c r="E12" s="4" t="n">
        <f aca="false">SUMIFS(SG_PFR!$K$4:$K$23,SG_PFR!$A$4:$A$23,$A12,SG_PFR!$B$4:$B$23,$B12)/SUMIFS(SG_PFR!$D$4:$D$23,SG_PFR!$A$4:$A$23,$A12,SG_PFR!$B$4:$B$23,$B12)</f>
        <v>8</v>
      </c>
      <c r="F12" s="4" t="n">
        <f aca="false">SUMIFS(SG_PFR!$J$4:$J$23,SG_PFR!$A$4:$A$23,$A12,SG_PFR!$B$4:$B$23,$B12)</f>
        <v>24</v>
      </c>
      <c r="G12" s="4" t="n">
        <f aca="false">SUMIFS(ESS_PFR!$N$4:$N$5,ESS_PFR!$A$4:$A$5,$A12)/SUMIFS(ESS_PFR!$L$4:$L$5,ESS_PFR!$A$4:$A$5,$A12)</f>
        <v>3</v>
      </c>
      <c r="H12" s="4" t="n">
        <f aca="false">MAX(0.5*F12+G12,1)</f>
        <v>15</v>
      </c>
      <c r="I12" s="4" t="n">
        <f aca="false">SUMIFS(SG_PFR!$I$4:$I$23,SG_PFR!$A$4:$A$23,$A12,SG_PFR!$B$4:$B$23,$B12)+SUMIFS(WT_PFR!$I$4:$I$15,WT_PFR!$A$4:$A$15,$A12,WT_PFR!$B$4:$B$15,$B12)+SUMIFS(ESS_PFR!$M$4:$M$5,ESS_PFR!$A$4:$A$5,$A12)/SUMIFS(ESS_PFR!$L$4:$L$5,ESS_PFR!$A$4:$A$5,$A12)</f>
        <v>4.25</v>
      </c>
      <c r="J12" s="4" t="n">
        <f aca="false">D12+I12</f>
        <v>8.75</v>
      </c>
      <c r="K12" s="4" t="n">
        <f aca="false">(1+SQRT(E12/(2*H12)))/J12</f>
        <v>0.17330260337078</v>
      </c>
      <c r="L12" s="4" t="n">
        <f aca="false">0.2*C12</f>
        <v>0.9</v>
      </c>
      <c r="M12" s="4" t="n">
        <f aca="false">(L12/D12)*(1+SQRT(E12/(2*H12)))</f>
        <v>0.303279555898864</v>
      </c>
      <c r="N12" s="4" t="n">
        <f aca="false">Freq_Security_Limits!$C$4-M12</f>
        <v>49.6967204441011</v>
      </c>
    </row>
    <row r="13" customFormat="false" ht="15" hidden="false" customHeight="false" outlineLevel="0" collapsed="false">
      <c r="A13" s="4" t="s">
        <v>75</v>
      </c>
      <c r="B13" s="4" t="n">
        <v>6</v>
      </c>
      <c r="C13" s="4" t="n">
        <v>4</v>
      </c>
      <c r="D13" s="4" t="n">
        <f aca="false">Freq_Security_Limits!$C$9*C13</f>
        <v>4</v>
      </c>
      <c r="E13" s="4" t="n">
        <f aca="false">SUMIFS(SG_PFR!$K$4:$K$23,SG_PFR!$A$4:$A$23,$A13,SG_PFR!$B$4:$B$23,$B13)/SUMIFS(SG_PFR!$D$4:$D$23,SG_PFR!$A$4:$A$23,$A13,SG_PFR!$B$4:$B$23,$B13)</f>
        <v>8</v>
      </c>
      <c r="F13" s="4" t="n">
        <f aca="false">SUMIFS(SG_PFR!$J$4:$J$23,SG_PFR!$A$4:$A$23,$A13,SG_PFR!$B$4:$B$23,$B13)</f>
        <v>16</v>
      </c>
      <c r="G13" s="4" t="n">
        <f aca="false">SUMIFS(ESS_PFR!$N$4:$N$5,ESS_PFR!$A$4:$A$5,$A13)/SUMIFS(ESS_PFR!$L$4:$L$5,ESS_PFR!$A$4:$A$5,$A13)</f>
        <v>3</v>
      </c>
      <c r="H13" s="4" t="n">
        <f aca="false">MAX(0.5*F13+G13,1)</f>
        <v>11</v>
      </c>
      <c r="I13" s="4" t="n">
        <f aca="false">SUMIFS(SG_PFR!$I$4:$I$23,SG_PFR!$A$4:$A$23,$A13,SG_PFR!$B$4:$B$23,$B13)+SUMIFS(WT_PFR!$I$4:$I$15,WT_PFR!$A$4:$A$15,$A13,WT_PFR!$B$4:$B$15,$B13)+SUMIFS(ESS_PFR!$M$4:$M$5,ESS_PFR!$A$4:$A$5,$A13)/SUMIFS(ESS_PFR!$L$4:$L$5,ESS_PFR!$A$4:$A$5,$A13)</f>
        <v>2.85</v>
      </c>
      <c r="J13" s="4" t="n">
        <f aca="false">D13+I13</f>
        <v>6.85</v>
      </c>
      <c r="K13" s="4" t="n">
        <f aca="false">(1+SQRT(E13/(2*H13)))/J13</f>
        <v>0.234017910825624</v>
      </c>
      <c r="L13" s="4" t="n">
        <f aca="false">0.2*C13</f>
        <v>0.8</v>
      </c>
      <c r="M13" s="4" t="n">
        <f aca="false">(L13/D13)*(1+SQRT(E13/(2*H13)))</f>
        <v>0.320604537831106</v>
      </c>
      <c r="N13" s="4" t="n">
        <f aca="false">Freq_Security_Limits!$C$4-M13</f>
        <v>49.6793954621689</v>
      </c>
    </row>
    <row r="15" customFormat="false" ht="15" hidden="false" customHeight="false" outlineLevel="0" collapsed="false">
      <c r="A15" s="5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2026-06-16T00:03:03Z</dcterms:created>
  <dc:creator>openpyxl</dc:creator>
  <dc:description/>
  <dc:language>en-US</dc:language>
  <cp:lastModifiedBy/>
  <dcterms:modified xsi:type="dcterms:W3CDTF">2026-06-16T00:03:03Z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