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G_Partition" sheetId="2" state="visible" r:id="rId4"/>
    <sheet name="DER_Placement" sheetId="3" state="visible" r:id="rId5"/>
    <sheet name="RCS_Switches" sheetId="4" state="visible" r:id="rId6"/>
    <sheet name="Line_Data" sheetId="5" state="visible" r:id="rId7"/>
    <sheet name="Bus_Data" sheetId="6" state="visible" r:id="rId8"/>
    <sheet name="Notes_Verif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<sst xmlns="http://schemas.openxmlformats.org/spreadsheetml/2006/main" count="264" uniqueCount="133">
  <si>
    <t xml:space="preserve">DRFC — Modified IEEE 33-bus / 4-Microgrid Test-System Data</t>
  </si>
  <si>
    <t xml:space="preserve">Topology, DER placement, RCS tie-switches and branch/load data (Section V-A)</t>
  </si>
  <si>
    <t xml:space="preserve">Item</t>
  </si>
  <si>
    <t xml:space="preserve">Description</t>
  </si>
  <si>
    <t xml:space="preserve">Test system</t>
  </si>
  <si>
    <t xml:space="preserve">Modified IEEE 33-bus radial distribution feeder, 4 interconnected microgrids.</t>
  </si>
  <si>
    <t xml:space="preserve">Base values</t>
  </si>
  <si>
    <t xml:space="preserve">12.66 kV (line-line), 10.0 MVA; Z_base = V^2/S = 16.0276 ohm.</t>
  </si>
  <si>
    <t xml:space="preserve">Branch data</t>
  </si>
  <si>
    <t xml:space="preserve">Standard IEEE 33-bus (Baran &amp; Wu) R/X in ohm; per-unit on the base above.</t>
  </si>
  <si>
    <t xml:space="preserve">Bus loads</t>
  </si>
  <si>
    <t xml:space="preserve">Standard IEEE 33-bus active loads (kW). Reactive loads follow the standard Baran-Wu data; not repeated here.</t>
  </si>
  <si>
    <t xml:space="preserve">Microgrids</t>
  </si>
  <si>
    <t xml:space="preserve">MG partition and DER bus locations are the configuration used in this study.</t>
  </si>
  <si>
    <t xml:space="preserve">PCC</t>
  </si>
  <si>
    <t xml:space="preserve">Each microgrid is rooted at its lowest-index bus (the point of common coupling).</t>
  </si>
  <si>
    <t xml:space="preserve">RCS</t>
  </si>
  <si>
    <t xml:space="preserve">Remotely controlled switches; opening them forms islanded microgrids.</t>
  </si>
  <si>
    <t xml:space="preserve">Sheets</t>
  </si>
  <si>
    <t xml:space="preserve">MG_Partition, DER_Placement, RCS_Switches, Line_Data, Bus_Data, Notes_Verify.</t>
  </si>
  <si>
    <t xml:space="preserve">Companion file</t>
  </si>
  <si>
    <t xml:space="preserve">DRFC_frequency_parameters.xlsx holds SG/WT/ESS PFR ratings and frequency-security limits.</t>
  </si>
  <si>
    <t xml:space="preserve">Microgrid partition</t>
  </si>
  <si>
    <t xml:space="preserve">Microgrid</t>
  </si>
  <si>
    <t xml:space="preserve">Buses</t>
  </si>
  <si>
    <t xml:space="preserve">#Buses</t>
  </si>
  <si>
    <t xml:space="preserve">PCC bus</t>
  </si>
  <si>
    <t xml:space="preserve">#SG</t>
  </si>
  <si>
    <t xml:space="preserve">#WT</t>
  </si>
  <si>
    <t xml:space="preserve">#PV</t>
  </si>
  <si>
    <t xml:space="preserve">IEEE33 nominal P (MW)</t>
  </si>
  <si>
    <t xml:space="preserve">MG1</t>
  </si>
  <si>
    <t xml:space="preserve">2, 3, 4, 5, 19, 20, 21, 22</t>
  </si>
  <si>
    <t xml:space="preserve">MG2</t>
  </si>
  <si>
    <t xml:space="preserve">14, 15, 16, 17, 18, 23, 24, 25</t>
  </si>
  <si>
    <t xml:space="preserve">MG3</t>
  </si>
  <si>
    <t xml:space="preserve">10, 11, 12, 13</t>
  </si>
  <si>
    <t xml:space="preserve">MG4</t>
  </si>
  <si>
    <t xml:space="preserve">6, 7, 8, 9, 26, 27, 28, 29, 30, 31, 32, 33</t>
  </si>
  <si>
    <t xml:space="preserve">Substation / upstream grid: bus 1 (not part of any microgrid).</t>
  </si>
  <si>
    <t xml:space="preserve">'IEEE33 nominal P' is the standard feeder load (allocation weights, ~3.7 MW total). The actual per-MG peak demand used in the case study is set by the data pipeline / parameter file, not by these nominal values.</t>
  </si>
  <si>
    <t xml:space="preserve">Distributed-energy-resource bus locations</t>
  </si>
  <si>
    <t xml:space="preserve">Unit ID</t>
  </si>
  <si>
    <t xml:space="preserve">Type</t>
  </si>
  <si>
    <t xml:space="preserve">Bus</t>
  </si>
  <si>
    <t xml:space="preserve">Rating / parameters</t>
  </si>
  <si>
    <t xml:space="preserve">SG1</t>
  </si>
  <si>
    <t xml:space="preserve">Synchronous generator</t>
  </si>
  <si>
    <t xml:space="preserve">see DRFC_frequency_parameters.xlsx</t>
  </si>
  <si>
    <t xml:space="preserve">PV1</t>
  </si>
  <si>
    <t xml:space="preserve">PV array</t>
  </si>
  <si>
    <t xml:space="preserve">WT1</t>
  </si>
  <si>
    <t xml:space="preserve">Wind turbine (deloaded)</t>
  </si>
  <si>
    <t xml:space="preserve">SG2</t>
  </si>
  <si>
    <t xml:space="preserve">SG3</t>
  </si>
  <si>
    <t xml:space="preserve">PV2</t>
  </si>
  <si>
    <t xml:space="preserve">PV3</t>
  </si>
  <si>
    <t xml:space="preserve">WT2</t>
  </si>
  <si>
    <t xml:space="preserve">SG4</t>
  </si>
  <si>
    <t xml:space="preserve">PV4</t>
  </si>
  <si>
    <t xml:space="preserve">WT3</t>
  </si>
  <si>
    <t xml:space="preserve">SG5</t>
  </si>
  <si>
    <t xml:space="preserve">SG6</t>
  </si>
  <si>
    <t xml:space="preserve">PV5</t>
  </si>
  <si>
    <t xml:space="preserve">PV6</t>
  </si>
  <si>
    <t xml:space="preserve">WT4</t>
  </si>
  <si>
    <t xml:space="preserve">A shared energy storage system (5 MWh / 2 MW) serves all four microgrids (see companion parameter file).</t>
  </si>
  <si>
    <t xml:space="preserve">Remotely controlled switches (RCS) / tie-lines</t>
  </si>
  <si>
    <t xml:space="preserve">Switch</t>
  </si>
  <si>
    <t xml:space="preserve">From bus</t>
  </si>
  <si>
    <t xml:space="preserve">To bus</t>
  </si>
  <si>
    <t xml:space="preserve">Connects</t>
  </si>
  <si>
    <t xml:space="preserve">In std. IEEE33?</t>
  </si>
  <si>
    <t xml:space="preserve">Function</t>
  </si>
  <si>
    <t xml:space="preserve">RCS1</t>
  </si>
  <si>
    <t xml:space="preserve">MG1-MG2</t>
  </si>
  <si>
    <t xml:space="preserve">yes</t>
  </si>
  <si>
    <t xml:space="preserve">inter-microgrid tie</t>
  </si>
  <si>
    <t xml:space="preserve">RCS2</t>
  </si>
  <si>
    <t xml:space="preserve">MG1-MG4</t>
  </si>
  <si>
    <t xml:space="preserve">RCS3</t>
  </si>
  <si>
    <t xml:space="preserve">MG3-MG2</t>
  </si>
  <si>
    <t xml:space="preserve">RCS4</t>
  </si>
  <si>
    <t xml:space="preserve">MG4-MG3</t>
  </si>
  <si>
    <t xml:space="preserve">RCS5</t>
  </si>
  <si>
    <t xml:space="preserve">Grid-MG2</t>
  </si>
  <si>
    <t xml:space="preserve">no (added tie)</t>
  </si>
  <si>
    <t xml:space="preserve">grid / PCC connection</t>
  </si>
  <si>
    <t xml:space="preserve">Branch (line) data — standard IEEE 33-bus</t>
  </si>
  <si>
    <t xml:space="preserve">Base:</t>
  </si>
  <si>
    <t xml:space="preserve">12.66 kV / 10.0 MVA</t>
  </si>
  <si>
    <t xml:space="preserve">Z_base (ohm) =</t>
  </si>
  <si>
    <t xml:space="preserve">From</t>
  </si>
  <si>
    <t xml:space="preserve">To</t>
  </si>
  <si>
    <t xml:space="preserve">R (ohm)</t>
  </si>
  <si>
    <t xml:space="preserve">X (ohm)</t>
  </si>
  <si>
    <t xml:space="preserve">R (pu)</t>
  </si>
  <si>
    <t xml:space="preserve">X (pu)</t>
  </si>
  <si>
    <t xml:space="preserve">Classification</t>
  </si>
  <si>
    <t xml:space="preserve">RCS?</t>
  </si>
  <si>
    <t xml:space="preserve">substation feeder</t>
  </si>
  <si>
    <t xml:space="preserve">intra MG1</t>
  </si>
  <si>
    <t xml:space="preserve">tie MG1-MG4</t>
  </si>
  <si>
    <t xml:space="preserve">intra MG4</t>
  </si>
  <si>
    <t xml:space="preserve">tie MG4-MG3</t>
  </si>
  <si>
    <t xml:space="preserve">intra MG3</t>
  </si>
  <si>
    <t xml:space="preserve">tie MG3-MG2</t>
  </si>
  <si>
    <t xml:space="preserve">intra MG2</t>
  </si>
  <si>
    <t xml:space="preserve">tie MG1-MG2</t>
  </si>
  <si>
    <t xml:space="preserve">(added)</t>
  </si>
  <si>
    <t xml:space="preserve">added tie Grid-MG2</t>
  </si>
  <si>
    <t xml:space="preserve">Bus data</t>
  </si>
  <si>
    <t xml:space="preserve">P load (kW)</t>
  </si>
  <si>
    <t xml:space="preserve">DER(s)</t>
  </si>
  <si>
    <t xml:space="preserve">Role</t>
  </si>
  <si>
    <t xml:space="preserve">Grid (substation)</t>
  </si>
  <si>
    <t xml:space="preserve">substation / PCC</t>
  </si>
  <si>
    <t xml:space="preserve">MG PCC</t>
  </si>
  <si>
    <t xml:space="preserve">SG</t>
  </si>
  <si>
    <t xml:space="preserve">PV</t>
  </si>
  <si>
    <t xml:space="preserve">WT</t>
  </si>
  <si>
    <t xml:space="preserve">Notes &amp; items to verify before publishing</t>
  </si>
  <si>
    <t xml:space="preserve">Detail</t>
  </si>
  <si>
    <t xml:space="preserve">1. Unit counts vs simulation/paper</t>
  </si>
  <si>
    <t xml:space="preserve">This layout has 6 SG, 6 PV, 4 WT (MG1 &amp; MG3 have only 1 SG). The simulation config (config.py) and the paper text ('2-3 SGs per microgrid') imply 9 SG / 5 WT / 5 PV. Reconcile the counts so the published topology matches the case study and the companion parameter file.</t>
  </si>
  <si>
    <t xml:space="preserve">2. MG1 extent / WT bus</t>
  </si>
  <si>
    <t xml:space="preserve">MG1 was given as buses 2-5 &amp; 19-20, but its WT is at bus 21. Buses 21-22 (the 19-22 lateral) are therefore assigned to MG1 here. Confirm 21-22 belong to MG1.</t>
  </si>
  <si>
    <t xml:space="preserve">3. RCS 1-18</t>
  </si>
  <si>
    <t xml:space="preserve">Bus 1 is the substation; branch 1-18 is NOT a standard IEEE 33-bus line, so it is treated as an added tie (a second grid connection, to MG2 at bus 18). The standard substation feeder 1-2 (to MG1) is not listed as an RCS. Confirm the intended grid-connection / PCC scheme.</t>
  </si>
  <si>
    <t xml:space="preserve">4. Non-contiguous MGs</t>
  </si>
  <si>
    <t xml:space="preserve">MG2 (14-18 &amp; 23-25) is not a single radial branch in the standard feeder; the 23-25 lateral connects via bus 3. Fine for the per-MG aggregate model, but note it in the one-line diagram.</t>
  </si>
  <si>
    <t xml:space="preserve">5. Reactive loads</t>
  </si>
  <si>
    <t xml:space="preserve">Only standard active loads (kW) are included. Add reactive loads (kVar) if the published DistFlow data should be complete.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</si>
</sst>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B03A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3A2E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8"/>
    <col collapsed="false" customWidth="true" hidden="false" outlineLevel="0" max="7" min="5" style="0" width="6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22</v>
      </c>
    </row>
    <row r="3" customFormat="false" ht="26.8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</row>
    <row r="4" customFormat="false" ht="15" hidden="false" customHeight="false" outlineLevel="0" collapsed="false">
      <c r="A4" s="4" t="s">
        <v>31</v>
      </c>
      <c r="B4" s="4" t="s">
        <v>32</v>
      </c>
      <c r="C4" s="4" t="n">
        <v>8</v>
      </c>
      <c r="D4" s="4" t="n">
        <v>2</v>
      </c>
      <c r="E4" s="4" t="n">
        <v>1</v>
      </c>
      <c r="F4" s="4" t="n">
        <v>1</v>
      </c>
      <c r="G4" s="4" t="n">
        <v>1</v>
      </c>
      <c r="H4" s="4" t="n">
        <v>0.73</v>
      </c>
    </row>
    <row r="5" customFormat="false" ht="15" hidden="false" customHeight="false" outlineLevel="0" collapsed="false">
      <c r="A5" s="4" t="s">
        <v>33</v>
      </c>
      <c r="B5" s="4" t="s">
        <v>34</v>
      </c>
      <c r="C5" s="4" t="n">
        <v>8</v>
      </c>
      <c r="D5" s="4" t="n">
        <v>14</v>
      </c>
      <c r="E5" s="4" t="n">
        <v>2</v>
      </c>
      <c r="F5" s="4" t="n">
        <v>1</v>
      </c>
      <c r="G5" s="4" t="n">
        <v>2</v>
      </c>
      <c r="H5" s="4" t="n">
        <v>1.32</v>
      </c>
    </row>
    <row r="6" customFormat="false" ht="15" hidden="false" customHeight="false" outlineLevel="0" collapsed="false">
      <c r="A6" s="4" t="s">
        <v>35</v>
      </c>
      <c r="B6" s="4" t="s">
        <v>36</v>
      </c>
      <c r="C6" s="4" t="n">
        <v>4</v>
      </c>
      <c r="D6" s="4" t="n">
        <v>10</v>
      </c>
      <c r="E6" s="4" t="n">
        <v>1</v>
      </c>
      <c r="F6" s="4" t="n">
        <v>1</v>
      </c>
      <c r="G6" s="4" t="n">
        <v>1</v>
      </c>
      <c r="H6" s="4" t="n">
        <v>0.225</v>
      </c>
    </row>
    <row r="7" customFormat="false" ht="15" hidden="false" customHeight="false" outlineLevel="0" collapsed="false">
      <c r="A7" s="4" t="s">
        <v>37</v>
      </c>
      <c r="B7" s="4" t="s">
        <v>38</v>
      </c>
      <c r="C7" s="4" t="n">
        <v>12</v>
      </c>
      <c r="D7" s="4" t="n">
        <v>6</v>
      </c>
      <c r="E7" s="4" t="n">
        <v>2</v>
      </c>
      <c r="F7" s="4" t="n">
        <v>1</v>
      </c>
      <c r="G7" s="4" t="n">
        <v>2</v>
      </c>
      <c r="H7" s="4" t="n">
        <v>1.44</v>
      </c>
    </row>
    <row r="9" customFormat="false" ht="15" hidden="false" customHeight="false" outlineLevel="0" collapsed="false">
      <c r="A9" s="5" t="s">
        <v>39</v>
      </c>
    </row>
    <row r="10" customFormat="false" ht="15" hidden="false" customHeight="false" outlineLevel="0" collapsed="false">
      <c r="A10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23</v>
      </c>
      <c r="D3" s="3" t="s">
        <v>44</v>
      </c>
      <c r="E3" s="3" t="s">
        <v>45</v>
      </c>
    </row>
    <row r="4" customFormat="false" ht="15" hidden="false" customHeight="false" outlineLevel="0" collapsed="false">
      <c r="A4" s="4" t="s">
        <v>46</v>
      </c>
      <c r="B4" s="4" t="s">
        <v>47</v>
      </c>
      <c r="C4" s="4" t="s">
        <v>31</v>
      </c>
      <c r="D4" s="4" t="n">
        <v>3</v>
      </c>
      <c r="E4" s="4" t="s">
        <v>48</v>
      </c>
    </row>
    <row r="5" customFormat="false" ht="15" hidden="false" customHeight="false" outlineLevel="0" collapsed="false">
      <c r="A5" s="4" t="s">
        <v>49</v>
      </c>
      <c r="B5" s="4" t="s">
        <v>50</v>
      </c>
      <c r="C5" s="4" t="s">
        <v>31</v>
      </c>
      <c r="D5" s="4" t="n">
        <v>4</v>
      </c>
      <c r="E5" s="4" t="s">
        <v>48</v>
      </c>
    </row>
    <row r="6" customFormat="false" ht="15" hidden="false" customHeight="false" outlineLevel="0" collapsed="false">
      <c r="A6" s="4" t="s">
        <v>51</v>
      </c>
      <c r="B6" s="4" t="s">
        <v>52</v>
      </c>
      <c r="C6" s="4" t="s">
        <v>31</v>
      </c>
      <c r="D6" s="4" t="n">
        <v>21</v>
      </c>
      <c r="E6" s="4" t="s">
        <v>48</v>
      </c>
    </row>
    <row r="7" customFormat="false" ht="15" hidden="false" customHeight="false" outlineLevel="0" collapsed="false">
      <c r="A7" s="4" t="s">
        <v>53</v>
      </c>
      <c r="B7" s="4" t="s">
        <v>47</v>
      </c>
      <c r="C7" s="4" t="s">
        <v>33</v>
      </c>
      <c r="D7" s="4" t="n">
        <v>16</v>
      </c>
      <c r="E7" s="4" t="s">
        <v>48</v>
      </c>
    </row>
    <row r="8" customFormat="false" ht="15" hidden="false" customHeight="false" outlineLevel="0" collapsed="false">
      <c r="A8" s="4" t="s">
        <v>54</v>
      </c>
      <c r="B8" s="4" t="s">
        <v>47</v>
      </c>
      <c r="C8" s="4" t="s">
        <v>33</v>
      </c>
      <c r="D8" s="4" t="n">
        <v>24</v>
      </c>
      <c r="E8" s="4" t="s">
        <v>48</v>
      </c>
    </row>
    <row r="9" customFormat="false" ht="15" hidden="false" customHeight="false" outlineLevel="0" collapsed="false">
      <c r="A9" s="4" t="s">
        <v>55</v>
      </c>
      <c r="B9" s="4" t="s">
        <v>50</v>
      </c>
      <c r="C9" s="4" t="s">
        <v>33</v>
      </c>
      <c r="D9" s="4" t="n">
        <v>14</v>
      </c>
      <c r="E9" s="4" t="s">
        <v>48</v>
      </c>
    </row>
    <row r="10" customFormat="false" ht="15" hidden="false" customHeight="false" outlineLevel="0" collapsed="false">
      <c r="A10" s="4" t="s">
        <v>56</v>
      </c>
      <c r="B10" s="4" t="s">
        <v>50</v>
      </c>
      <c r="C10" s="4" t="s">
        <v>33</v>
      </c>
      <c r="D10" s="4" t="n">
        <v>23</v>
      </c>
      <c r="E10" s="4" t="s">
        <v>48</v>
      </c>
    </row>
    <row r="11" customFormat="false" ht="15" hidden="false" customHeight="false" outlineLevel="0" collapsed="false">
      <c r="A11" s="4" t="s">
        <v>57</v>
      </c>
      <c r="B11" s="4" t="s">
        <v>52</v>
      </c>
      <c r="C11" s="4" t="s">
        <v>33</v>
      </c>
      <c r="D11" s="4" t="n">
        <v>17</v>
      </c>
      <c r="E11" s="4" t="s">
        <v>48</v>
      </c>
    </row>
    <row r="12" customFormat="false" ht="15" hidden="false" customHeight="false" outlineLevel="0" collapsed="false">
      <c r="A12" s="4" t="s">
        <v>58</v>
      </c>
      <c r="B12" s="4" t="s">
        <v>47</v>
      </c>
      <c r="C12" s="4" t="s">
        <v>35</v>
      </c>
      <c r="D12" s="4" t="n">
        <v>11</v>
      </c>
      <c r="E12" s="4" t="s">
        <v>48</v>
      </c>
    </row>
    <row r="13" customFormat="false" ht="15" hidden="false" customHeight="false" outlineLevel="0" collapsed="false">
      <c r="A13" s="4" t="s">
        <v>59</v>
      </c>
      <c r="B13" s="4" t="s">
        <v>50</v>
      </c>
      <c r="C13" s="4" t="s">
        <v>35</v>
      </c>
      <c r="D13" s="4" t="n">
        <v>10</v>
      </c>
      <c r="E13" s="4" t="s">
        <v>48</v>
      </c>
    </row>
    <row r="14" customFormat="false" ht="15" hidden="false" customHeight="false" outlineLevel="0" collapsed="false">
      <c r="A14" s="4" t="s">
        <v>60</v>
      </c>
      <c r="B14" s="4" t="s">
        <v>52</v>
      </c>
      <c r="C14" s="4" t="s">
        <v>35</v>
      </c>
      <c r="D14" s="4" t="n">
        <v>12</v>
      </c>
      <c r="E14" s="4" t="s">
        <v>48</v>
      </c>
    </row>
    <row r="15" customFormat="false" ht="15" hidden="false" customHeight="false" outlineLevel="0" collapsed="false">
      <c r="A15" s="4" t="s">
        <v>61</v>
      </c>
      <c r="B15" s="4" t="s">
        <v>47</v>
      </c>
      <c r="C15" s="4" t="s">
        <v>37</v>
      </c>
      <c r="D15" s="4" t="n">
        <v>7</v>
      </c>
      <c r="E15" s="4" t="s">
        <v>48</v>
      </c>
    </row>
    <row r="16" customFormat="false" ht="15" hidden="false" customHeight="false" outlineLevel="0" collapsed="false">
      <c r="A16" s="4" t="s">
        <v>62</v>
      </c>
      <c r="B16" s="4" t="s">
        <v>47</v>
      </c>
      <c r="C16" s="4" t="s">
        <v>37</v>
      </c>
      <c r="D16" s="4" t="n">
        <v>28</v>
      </c>
      <c r="E16" s="4" t="s">
        <v>48</v>
      </c>
    </row>
    <row r="17" customFormat="false" ht="15" hidden="false" customHeight="false" outlineLevel="0" collapsed="false">
      <c r="A17" s="4" t="s">
        <v>63</v>
      </c>
      <c r="B17" s="4" t="s">
        <v>50</v>
      </c>
      <c r="C17" s="4" t="s">
        <v>37</v>
      </c>
      <c r="D17" s="4" t="n">
        <v>8</v>
      </c>
      <c r="E17" s="4" t="s">
        <v>48</v>
      </c>
    </row>
    <row r="18" customFormat="false" ht="15" hidden="false" customHeight="false" outlineLevel="0" collapsed="false">
      <c r="A18" s="4" t="s">
        <v>64</v>
      </c>
      <c r="B18" s="4" t="s">
        <v>50</v>
      </c>
      <c r="C18" s="4" t="s">
        <v>37</v>
      </c>
      <c r="D18" s="4" t="n">
        <v>30</v>
      </c>
      <c r="E18" s="4" t="s">
        <v>48</v>
      </c>
    </row>
    <row r="19" customFormat="false" ht="15" hidden="false" customHeight="false" outlineLevel="0" collapsed="false">
      <c r="A19" s="4" t="s">
        <v>65</v>
      </c>
      <c r="B19" s="4" t="s">
        <v>52</v>
      </c>
      <c r="C19" s="4" t="s">
        <v>37</v>
      </c>
      <c r="D19" s="4" t="n">
        <v>31</v>
      </c>
      <c r="E19" s="4" t="s">
        <v>48</v>
      </c>
    </row>
    <row r="21" customFormat="false" ht="15" hidden="false" customHeight="false" outlineLevel="0" collapsed="false">
      <c r="A21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16.15" hidden="false" customHeight="false" outlineLevel="0" collapsed="false">
      <c r="A1" s="1" t="s">
        <v>67</v>
      </c>
    </row>
    <row r="3" customFormat="false" ht="26.8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</row>
    <row r="4" customFormat="false" ht="15" hidden="false" customHeight="false" outlineLevel="0" collapsed="false">
      <c r="A4" s="4" t="s">
        <v>74</v>
      </c>
      <c r="B4" s="4" t="n">
        <v>3</v>
      </c>
      <c r="C4" s="4" t="n">
        <v>23</v>
      </c>
      <c r="D4" s="4" t="s">
        <v>75</v>
      </c>
      <c r="E4" s="4" t="s">
        <v>76</v>
      </c>
      <c r="F4" s="4" t="s">
        <v>77</v>
      </c>
    </row>
    <row r="5" customFormat="false" ht="15" hidden="false" customHeight="false" outlineLevel="0" collapsed="false">
      <c r="A5" s="4" t="s">
        <v>78</v>
      </c>
      <c r="B5" s="4" t="n">
        <v>5</v>
      </c>
      <c r="C5" s="4" t="n">
        <v>6</v>
      </c>
      <c r="D5" s="4" t="s">
        <v>79</v>
      </c>
      <c r="E5" s="4" t="s">
        <v>76</v>
      </c>
      <c r="F5" s="4" t="s">
        <v>77</v>
      </c>
    </row>
    <row r="6" customFormat="false" ht="15" hidden="false" customHeight="false" outlineLevel="0" collapsed="false">
      <c r="A6" s="4" t="s">
        <v>80</v>
      </c>
      <c r="B6" s="4" t="n">
        <v>13</v>
      </c>
      <c r="C6" s="4" t="n">
        <v>14</v>
      </c>
      <c r="D6" s="4" t="s">
        <v>81</v>
      </c>
      <c r="E6" s="4" t="s">
        <v>76</v>
      </c>
      <c r="F6" s="4" t="s">
        <v>77</v>
      </c>
    </row>
    <row r="7" customFormat="false" ht="15" hidden="false" customHeight="false" outlineLevel="0" collapsed="false">
      <c r="A7" s="4" t="s">
        <v>82</v>
      </c>
      <c r="B7" s="4" t="n">
        <v>9</v>
      </c>
      <c r="C7" s="4" t="n">
        <v>10</v>
      </c>
      <c r="D7" s="4" t="s">
        <v>83</v>
      </c>
      <c r="E7" s="4" t="s">
        <v>76</v>
      </c>
      <c r="F7" s="4" t="s">
        <v>77</v>
      </c>
    </row>
    <row r="8" customFormat="false" ht="15" hidden="false" customHeight="false" outlineLevel="0" collapsed="false">
      <c r="A8" s="4" t="s">
        <v>84</v>
      </c>
      <c r="B8" s="4" t="n">
        <v>1</v>
      </c>
      <c r="C8" s="4" t="n">
        <v>18</v>
      </c>
      <c r="D8" s="4" t="s">
        <v>85</v>
      </c>
      <c r="E8" s="4" t="s">
        <v>86</v>
      </c>
      <c r="F8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4" min="3" style="0" width="10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8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6" t="s">
        <v>89</v>
      </c>
      <c r="B2" s="7" t="s">
        <v>90</v>
      </c>
      <c r="D2" s="6" t="s">
        <v>91</v>
      </c>
      <c r="E2" s="7" t="n">
        <f aca="false">12.66^2/10</f>
        <v>16.02756</v>
      </c>
    </row>
    <row r="4" customFormat="false" ht="15" hidden="false" customHeight="false" outlineLevel="0" collapsed="false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  <c r="H4" s="3" t="s">
        <v>99</v>
      </c>
    </row>
    <row r="5" customFormat="false" ht="15" hidden="false" customHeight="false" outlineLevel="0" collapsed="false">
      <c r="A5" s="8" t="n">
        <v>1</v>
      </c>
      <c r="B5" s="8" t="n">
        <v>2</v>
      </c>
      <c r="C5" s="8" t="n">
        <v>0.0922</v>
      </c>
      <c r="D5" s="8" t="n">
        <v>0.047</v>
      </c>
      <c r="E5" s="8" t="n">
        <f aca="false">C5/$E$2</f>
        <v>0.00575259116172393</v>
      </c>
      <c r="F5" s="8" t="n">
        <f aca="false">D5/$E$2</f>
        <v>0.00293244885684409</v>
      </c>
      <c r="G5" s="8" t="s">
        <v>100</v>
      </c>
      <c r="H5" s="8"/>
    </row>
    <row r="6" customFormat="false" ht="15" hidden="false" customHeight="false" outlineLevel="0" collapsed="false">
      <c r="A6" s="8" t="n">
        <v>2</v>
      </c>
      <c r="B6" s="8" t="n">
        <v>3</v>
      </c>
      <c r="C6" s="8" t="n">
        <v>0.493</v>
      </c>
      <c r="D6" s="8" t="n">
        <v>0.2511</v>
      </c>
      <c r="E6" s="8" t="n">
        <f aca="false">C6/$E$2</f>
        <v>0.0307595167324284</v>
      </c>
      <c r="F6" s="8" t="n">
        <f aca="false">D6/$E$2</f>
        <v>0.0156667639990117</v>
      </c>
      <c r="G6" s="8" t="s">
        <v>101</v>
      </c>
      <c r="H6" s="8"/>
    </row>
    <row r="7" customFormat="false" ht="15" hidden="false" customHeight="false" outlineLevel="0" collapsed="false">
      <c r="A7" s="8" t="n">
        <v>3</v>
      </c>
      <c r="B7" s="8" t="n">
        <v>4</v>
      </c>
      <c r="C7" s="8" t="n">
        <v>0.366</v>
      </c>
      <c r="D7" s="8" t="n">
        <v>0.1864</v>
      </c>
      <c r="E7" s="8" t="n">
        <f aca="false">C7/$E$2</f>
        <v>0.0228356655660625</v>
      </c>
      <c r="F7" s="8" t="n">
        <f aca="false">D7/$E$2</f>
        <v>0.0116299673811859</v>
      </c>
      <c r="G7" s="8" t="s">
        <v>101</v>
      </c>
      <c r="H7" s="8"/>
    </row>
    <row r="8" customFormat="false" ht="15" hidden="false" customHeight="false" outlineLevel="0" collapsed="false">
      <c r="A8" s="8" t="n">
        <v>4</v>
      </c>
      <c r="B8" s="8" t="n">
        <v>5</v>
      </c>
      <c r="C8" s="8" t="n">
        <v>0.3811</v>
      </c>
      <c r="D8" s="8" t="n">
        <v>0.1941</v>
      </c>
      <c r="E8" s="8" t="n">
        <f aca="false">C8/$E$2</f>
        <v>0.0237777927519847</v>
      </c>
      <c r="F8" s="8" t="n">
        <f aca="false">D8/$E$2</f>
        <v>0.0121103898534774</v>
      </c>
      <c r="G8" s="8" t="s">
        <v>101</v>
      </c>
      <c r="H8" s="8"/>
    </row>
    <row r="9" customFormat="false" ht="15" hidden="false" customHeight="false" outlineLevel="0" collapsed="false">
      <c r="A9" s="8" t="n">
        <v>5</v>
      </c>
      <c r="B9" s="8" t="n">
        <v>6</v>
      </c>
      <c r="C9" s="8" t="n">
        <v>0.819</v>
      </c>
      <c r="D9" s="8" t="n">
        <v>0.707</v>
      </c>
      <c r="E9" s="8" t="n">
        <f aca="false">C9/$E$2</f>
        <v>0.0510994811437299</v>
      </c>
      <c r="F9" s="8" t="n">
        <f aca="false">D9/$E$2</f>
        <v>0.0441115179103993</v>
      </c>
      <c r="G9" s="8" t="s">
        <v>102</v>
      </c>
      <c r="H9" s="8" t="s">
        <v>76</v>
      </c>
    </row>
    <row r="10" customFormat="false" ht="15" hidden="false" customHeight="false" outlineLevel="0" collapsed="false">
      <c r="A10" s="8" t="n">
        <v>6</v>
      </c>
      <c r="B10" s="8" t="n">
        <v>7</v>
      </c>
      <c r="C10" s="8" t="n">
        <v>0.1872</v>
      </c>
      <c r="D10" s="8" t="n">
        <v>0.6188</v>
      </c>
      <c r="E10" s="8" t="n">
        <f aca="false">C10/$E$2</f>
        <v>0.0116798814042811</v>
      </c>
      <c r="F10" s="8" t="n">
        <f aca="false">D10/$E$2</f>
        <v>0.0386084968641515</v>
      </c>
      <c r="G10" s="8" t="s">
        <v>103</v>
      </c>
      <c r="H10" s="8"/>
    </row>
    <row r="11" customFormat="false" ht="15" hidden="false" customHeight="false" outlineLevel="0" collapsed="false">
      <c r="A11" s="8" t="n">
        <v>7</v>
      </c>
      <c r="B11" s="8" t="n">
        <v>8</v>
      </c>
      <c r="C11" s="8" t="n">
        <v>0.7114</v>
      </c>
      <c r="D11" s="8" t="n">
        <v>0.2351</v>
      </c>
      <c r="E11" s="8" t="n">
        <f aca="false">C11/$E$2</f>
        <v>0.044386045037423</v>
      </c>
      <c r="F11" s="8" t="n">
        <f aca="false">D11/$E$2</f>
        <v>0.0146684835371073</v>
      </c>
      <c r="G11" s="8" t="s">
        <v>103</v>
      </c>
      <c r="H11" s="8"/>
    </row>
    <row r="12" customFormat="false" ht="15" hidden="false" customHeight="false" outlineLevel="0" collapsed="false">
      <c r="A12" s="8" t="n">
        <v>8</v>
      </c>
      <c r="B12" s="8" t="n">
        <v>9</v>
      </c>
      <c r="C12" s="8" t="n">
        <v>1.03</v>
      </c>
      <c r="D12" s="8" t="n">
        <v>0.74</v>
      </c>
      <c r="E12" s="8" t="n">
        <f aca="false">C12/$E$2</f>
        <v>0.0642643047350938</v>
      </c>
      <c r="F12" s="8" t="n">
        <f aca="false">D12/$E$2</f>
        <v>0.0461704713630771</v>
      </c>
      <c r="G12" s="8" t="s">
        <v>103</v>
      </c>
      <c r="H12" s="8"/>
    </row>
    <row r="13" customFormat="false" ht="15" hidden="false" customHeight="false" outlineLevel="0" collapsed="false">
      <c r="A13" s="8" t="n">
        <v>9</v>
      </c>
      <c r="B13" s="8" t="n">
        <v>10</v>
      </c>
      <c r="C13" s="8" t="n">
        <v>1.044</v>
      </c>
      <c r="D13" s="8" t="n">
        <v>0.74</v>
      </c>
      <c r="E13" s="8" t="n">
        <f aca="false">C13/$E$2</f>
        <v>0.0651378001392601</v>
      </c>
      <c r="F13" s="8" t="n">
        <f aca="false">D13/$E$2</f>
        <v>0.0461704713630771</v>
      </c>
      <c r="G13" s="8" t="s">
        <v>104</v>
      </c>
      <c r="H13" s="8" t="s">
        <v>76</v>
      </c>
    </row>
    <row r="14" customFormat="false" ht="15" hidden="false" customHeight="false" outlineLevel="0" collapsed="false">
      <c r="A14" s="8" t="n">
        <v>10</v>
      </c>
      <c r="B14" s="8" t="n">
        <v>11</v>
      </c>
      <c r="C14" s="8" t="n">
        <v>0.1966</v>
      </c>
      <c r="D14" s="8" t="n">
        <v>0.065</v>
      </c>
      <c r="E14" s="8" t="n">
        <f aca="false">C14/$E$2</f>
        <v>0.0122663711756499</v>
      </c>
      <c r="F14" s="8" t="n">
        <f aca="false">D14/$E$2</f>
        <v>0.0040555143764865</v>
      </c>
      <c r="G14" s="8" t="s">
        <v>105</v>
      </c>
      <c r="H14" s="8"/>
    </row>
    <row r="15" customFormat="false" ht="15" hidden="false" customHeight="false" outlineLevel="0" collapsed="false">
      <c r="A15" s="8" t="n">
        <v>11</v>
      </c>
      <c r="B15" s="8" t="n">
        <v>12</v>
      </c>
      <c r="C15" s="8" t="n">
        <v>0.3744</v>
      </c>
      <c r="D15" s="8" t="n">
        <v>0.1238</v>
      </c>
      <c r="E15" s="8" t="n">
        <f aca="false">C15/$E$2</f>
        <v>0.0233597628085623</v>
      </c>
      <c r="F15" s="8" t="n">
        <f aca="false">D15/$E$2</f>
        <v>0.00772419507398506</v>
      </c>
      <c r="G15" s="8" t="s">
        <v>105</v>
      </c>
      <c r="H15" s="8"/>
    </row>
    <row r="16" customFormat="false" ht="15" hidden="false" customHeight="false" outlineLevel="0" collapsed="false">
      <c r="A16" s="8" t="n">
        <v>12</v>
      </c>
      <c r="B16" s="8" t="n">
        <v>13</v>
      </c>
      <c r="C16" s="8" t="n">
        <v>1.468</v>
      </c>
      <c r="D16" s="8" t="n">
        <v>1.155</v>
      </c>
      <c r="E16" s="8" t="n">
        <f aca="false">C16/$E$2</f>
        <v>0.0915922323797259</v>
      </c>
      <c r="F16" s="8" t="n">
        <f aca="false">D16/$E$2</f>
        <v>0.0720633708437217</v>
      </c>
      <c r="G16" s="8" t="s">
        <v>105</v>
      </c>
      <c r="H16" s="8"/>
    </row>
    <row r="17" customFormat="false" ht="15" hidden="false" customHeight="false" outlineLevel="0" collapsed="false">
      <c r="A17" s="8" t="n">
        <v>13</v>
      </c>
      <c r="B17" s="8" t="n">
        <v>14</v>
      </c>
      <c r="C17" s="8" t="n">
        <v>0.5416</v>
      </c>
      <c r="D17" s="8" t="n">
        <v>0.7129</v>
      </c>
      <c r="E17" s="8" t="n">
        <f aca="false">C17/$E$2</f>
        <v>0.0337917936354629</v>
      </c>
      <c r="F17" s="8" t="n">
        <f aca="false">D17/$E$2</f>
        <v>0.0444796338307266</v>
      </c>
      <c r="G17" s="8" t="s">
        <v>106</v>
      </c>
      <c r="H17" s="8" t="s">
        <v>76</v>
      </c>
    </row>
    <row r="18" customFormat="false" ht="15" hidden="false" customHeight="false" outlineLevel="0" collapsed="false">
      <c r="A18" s="8" t="n">
        <v>14</v>
      </c>
      <c r="B18" s="8" t="n">
        <v>15</v>
      </c>
      <c r="C18" s="8" t="n">
        <v>0.591</v>
      </c>
      <c r="D18" s="8" t="n">
        <v>0.526</v>
      </c>
      <c r="E18" s="8" t="n">
        <f aca="false">C18/$E$2</f>
        <v>0.0368739845615927</v>
      </c>
      <c r="F18" s="8" t="n">
        <f aca="false">D18/$E$2</f>
        <v>0.0328184701851062</v>
      </c>
      <c r="G18" s="8" t="s">
        <v>107</v>
      </c>
      <c r="H18" s="8"/>
    </row>
    <row r="19" customFormat="false" ht="15" hidden="false" customHeight="false" outlineLevel="0" collapsed="false">
      <c r="A19" s="8" t="n">
        <v>15</v>
      </c>
      <c r="B19" s="8" t="n">
        <v>16</v>
      </c>
      <c r="C19" s="8" t="n">
        <v>0.7463</v>
      </c>
      <c r="D19" s="8" t="n">
        <v>0.545</v>
      </c>
      <c r="E19" s="8" t="n">
        <f aca="false">C19/$E$2</f>
        <v>0.0465635442949519</v>
      </c>
      <c r="F19" s="8" t="n">
        <f aca="false">D19/$E$2</f>
        <v>0.0340039282336176</v>
      </c>
      <c r="G19" s="8" t="s">
        <v>107</v>
      </c>
      <c r="H19" s="8"/>
    </row>
    <row r="20" customFormat="false" ht="15" hidden="false" customHeight="false" outlineLevel="0" collapsed="false">
      <c r="A20" s="8" t="n">
        <v>16</v>
      </c>
      <c r="B20" s="8" t="n">
        <v>17</v>
      </c>
      <c r="C20" s="8" t="n">
        <v>1.289</v>
      </c>
      <c r="D20" s="8" t="n">
        <v>1.721</v>
      </c>
      <c r="E20" s="8" t="n">
        <f aca="false">C20/$E$2</f>
        <v>0.0804239697121708</v>
      </c>
      <c r="F20" s="8" t="n">
        <f aca="false">D20/$E$2</f>
        <v>0.107377542183589</v>
      </c>
      <c r="G20" s="8" t="s">
        <v>107</v>
      </c>
      <c r="H20" s="8"/>
    </row>
    <row r="21" customFormat="false" ht="15" hidden="false" customHeight="false" outlineLevel="0" collapsed="false">
      <c r="A21" s="8" t="n">
        <v>17</v>
      </c>
      <c r="B21" s="8" t="n">
        <v>18</v>
      </c>
      <c r="C21" s="8" t="n">
        <v>0.732</v>
      </c>
      <c r="D21" s="8" t="n">
        <v>0.574</v>
      </c>
      <c r="E21" s="8" t="n">
        <f aca="false">C21/$E$2</f>
        <v>0.0456713311321249</v>
      </c>
      <c r="F21" s="8" t="n">
        <f aca="false">D21/$E$2</f>
        <v>0.0358133115708193</v>
      </c>
      <c r="G21" s="8" t="s">
        <v>107</v>
      </c>
      <c r="H21" s="8"/>
    </row>
    <row r="22" customFormat="false" ht="15" hidden="false" customHeight="false" outlineLevel="0" collapsed="false">
      <c r="A22" s="8" t="n">
        <v>2</v>
      </c>
      <c r="B22" s="8" t="n">
        <v>19</v>
      </c>
      <c r="C22" s="8" t="n">
        <v>0.164</v>
      </c>
      <c r="D22" s="8" t="n">
        <v>0.1565</v>
      </c>
      <c r="E22" s="8" t="n">
        <f aca="false">C22/$E$2</f>
        <v>0.0102323747345198</v>
      </c>
      <c r="F22" s="8" t="n">
        <f aca="false">D22/$E$2</f>
        <v>0.00976443076800212</v>
      </c>
      <c r="G22" s="8" t="s">
        <v>101</v>
      </c>
      <c r="H22" s="8"/>
    </row>
    <row r="23" customFormat="false" ht="15" hidden="false" customHeight="false" outlineLevel="0" collapsed="false">
      <c r="A23" s="8" t="n">
        <v>19</v>
      </c>
      <c r="B23" s="8" t="n">
        <v>20</v>
      </c>
      <c r="C23" s="8" t="n">
        <v>1.5042</v>
      </c>
      <c r="D23" s="8" t="n">
        <v>1.3554</v>
      </c>
      <c r="E23" s="8" t="n">
        <f aca="false">C23/$E$2</f>
        <v>0.0938508419247845</v>
      </c>
      <c r="F23" s="8" t="n">
        <f aca="false">D23/$E$2</f>
        <v>0.0845668336290739</v>
      </c>
      <c r="G23" s="8" t="s">
        <v>101</v>
      </c>
      <c r="H23" s="8"/>
    </row>
    <row r="24" customFormat="false" ht="15" hidden="false" customHeight="false" outlineLevel="0" collapsed="false">
      <c r="A24" s="8" t="n">
        <v>20</v>
      </c>
      <c r="B24" s="8" t="n">
        <v>21</v>
      </c>
      <c r="C24" s="8" t="n">
        <v>0.4095</v>
      </c>
      <c r="D24" s="8" t="n">
        <v>0.4784</v>
      </c>
      <c r="E24" s="8" t="n">
        <f aca="false">C24/$E$2</f>
        <v>0.025549740571865</v>
      </c>
      <c r="F24" s="8" t="n">
        <f aca="false">D24/$E$2</f>
        <v>0.0298485858109407</v>
      </c>
      <c r="G24" s="8" t="s">
        <v>101</v>
      </c>
      <c r="H24" s="8"/>
    </row>
    <row r="25" customFormat="false" ht="15" hidden="false" customHeight="false" outlineLevel="0" collapsed="false">
      <c r="A25" s="8" t="n">
        <v>21</v>
      </c>
      <c r="B25" s="8" t="n">
        <v>22</v>
      </c>
      <c r="C25" s="8" t="n">
        <v>0.7089</v>
      </c>
      <c r="D25" s="8" t="n">
        <v>0.9373</v>
      </c>
      <c r="E25" s="8" t="n">
        <f aca="false">C25/$E$2</f>
        <v>0.0442300637152505</v>
      </c>
      <c r="F25" s="8" t="n">
        <f aca="false">D25/$E$2</f>
        <v>0.0584805173089354</v>
      </c>
      <c r="G25" s="8" t="s">
        <v>101</v>
      </c>
      <c r="H25" s="8"/>
    </row>
    <row r="26" customFormat="false" ht="15" hidden="false" customHeight="false" outlineLevel="0" collapsed="false">
      <c r="A26" s="8" t="n">
        <v>3</v>
      </c>
      <c r="B26" s="8" t="n">
        <v>23</v>
      </c>
      <c r="C26" s="8" t="n">
        <v>0.4512</v>
      </c>
      <c r="D26" s="8" t="n">
        <v>0.3083</v>
      </c>
      <c r="E26" s="8" t="n">
        <f aca="false">C26/$E$2</f>
        <v>0.0281515090257032</v>
      </c>
      <c r="F26" s="8" t="n">
        <f aca="false">D26/$E$2</f>
        <v>0.0192356166503198</v>
      </c>
      <c r="G26" s="8" t="s">
        <v>108</v>
      </c>
      <c r="H26" s="8" t="s">
        <v>76</v>
      </c>
    </row>
    <row r="27" customFormat="false" ht="15" hidden="false" customHeight="false" outlineLevel="0" collapsed="false">
      <c r="A27" s="8" t="n">
        <v>23</v>
      </c>
      <c r="B27" s="8" t="n">
        <v>24</v>
      </c>
      <c r="C27" s="8" t="n">
        <v>0.898</v>
      </c>
      <c r="D27" s="8" t="n">
        <v>0.7091</v>
      </c>
      <c r="E27" s="8" t="n">
        <f aca="false">C27/$E$2</f>
        <v>0.0560284909243828</v>
      </c>
      <c r="F27" s="8" t="n">
        <f aca="false">D27/$E$2</f>
        <v>0.0442425422210243</v>
      </c>
      <c r="G27" s="8" t="s">
        <v>107</v>
      </c>
      <c r="H27" s="8"/>
    </row>
    <row r="28" customFormat="false" ht="15" hidden="false" customHeight="false" outlineLevel="0" collapsed="false">
      <c r="A28" s="8" t="n">
        <v>24</v>
      </c>
      <c r="B28" s="8" t="n">
        <v>25</v>
      </c>
      <c r="C28" s="8" t="n">
        <v>0.896</v>
      </c>
      <c r="D28" s="8" t="n">
        <v>0.7011</v>
      </c>
      <c r="E28" s="8" t="n">
        <f aca="false">C28/$E$2</f>
        <v>0.0559037058666447</v>
      </c>
      <c r="F28" s="8" t="n">
        <f aca="false">D28/$E$2</f>
        <v>0.0437434019900721</v>
      </c>
      <c r="G28" s="8" t="s">
        <v>107</v>
      </c>
      <c r="H28" s="8"/>
    </row>
    <row r="29" customFormat="false" ht="15" hidden="false" customHeight="false" outlineLevel="0" collapsed="false">
      <c r="A29" s="8" t="n">
        <v>6</v>
      </c>
      <c r="B29" s="8" t="n">
        <v>26</v>
      </c>
      <c r="C29" s="8" t="n">
        <v>0.203</v>
      </c>
      <c r="D29" s="8" t="n">
        <v>0.1034</v>
      </c>
      <c r="E29" s="8" t="n">
        <f aca="false">C29/$E$2</f>
        <v>0.0126656833604117</v>
      </c>
      <c r="F29" s="8" t="n">
        <f aca="false">D29/$E$2</f>
        <v>0.00645138748505699</v>
      </c>
      <c r="G29" s="8" t="s">
        <v>103</v>
      </c>
      <c r="H29" s="8"/>
    </row>
    <row r="30" customFormat="false" ht="15" hidden="false" customHeight="false" outlineLevel="0" collapsed="false">
      <c r="A30" s="8" t="n">
        <v>26</v>
      </c>
      <c r="B30" s="8" t="n">
        <v>27</v>
      </c>
      <c r="C30" s="8" t="n">
        <v>0.2842</v>
      </c>
      <c r="D30" s="8" t="n">
        <v>0.1447</v>
      </c>
      <c r="E30" s="8" t="n">
        <f aca="false">C30/$E$2</f>
        <v>0.0177319567045764</v>
      </c>
      <c r="F30" s="8" t="n">
        <f aca="false">D30/$E$2</f>
        <v>0.00902819892734764</v>
      </c>
      <c r="G30" s="8" t="s">
        <v>103</v>
      </c>
      <c r="H30" s="8"/>
    </row>
    <row r="31" customFormat="false" ht="15" hidden="false" customHeight="false" outlineLevel="0" collapsed="false">
      <c r="A31" s="8" t="n">
        <v>27</v>
      </c>
      <c r="B31" s="8" t="n">
        <v>28</v>
      </c>
      <c r="C31" s="8" t="n">
        <v>1.059</v>
      </c>
      <c r="D31" s="8" t="n">
        <v>0.9337</v>
      </c>
      <c r="E31" s="8" t="n">
        <f aca="false">C31/$E$2</f>
        <v>0.0660736880722955</v>
      </c>
      <c r="F31" s="8" t="n">
        <f aca="false">D31/$E$2</f>
        <v>0.0582559042050069</v>
      </c>
      <c r="G31" s="8" t="s">
        <v>103</v>
      </c>
      <c r="H31" s="8"/>
    </row>
    <row r="32" customFormat="false" ht="15" hidden="false" customHeight="false" outlineLevel="0" collapsed="false">
      <c r="A32" s="8" t="n">
        <v>28</v>
      </c>
      <c r="B32" s="8" t="n">
        <v>29</v>
      </c>
      <c r="C32" s="8" t="n">
        <v>0.8042</v>
      </c>
      <c r="D32" s="8" t="n">
        <v>0.7006</v>
      </c>
      <c r="E32" s="8" t="n">
        <f aca="false">C32/$E$2</f>
        <v>0.0501760717164684</v>
      </c>
      <c r="F32" s="8" t="n">
        <f aca="false">D32/$E$2</f>
        <v>0.0437122057256376</v>
      </c>
      <c r="G32" s="8" t="s">
        <v>103</v>
      </c>
      <c r="H32" s="8"/>
    </row>
    <row r="33" customFormat="false" ht="15" hidden="false" customHeight="false" outlineLevel="0" collapsed="false">
      <c r="A33" s="8" t="n">
        <v>29</v>
      </c>
      <c r="B33" s="8" t="n">
        <v>30</v>
      </c>
      <c r="C33" s="8" t="n">
        <v>0.5075</v>
      </c>
      <c r="D33" s="8" t="n">
        <v>0.2585</v>
      </c>
      <c r="E33" s="8" t="n">
        <f aca="false">C33/$E$2</f>
        <v>0.0316642084010292</v>
      </c>
      <c r="F33" s="8" t="n">
        <f aca="false">D33/$E$2</f>
        <v>0.0161284687126425</v>
      </c>
      <c r="G33" s="8" t="s">
        <v>103</v>
      </c>
      <c r="H33" s="8"/>
    </row>
    <row r="34" customFormat="false" ht="15" hidden="false" customHeight="false" outlineLevel="0" collapsed="false">
      <c r="A34" s="8" t="n">
        <v>30</v>
      </c>
      <c r="B34" s="8" t="n">
        <v>31</v>
      </c>
      <c r="C34" s="8" t="n">
        <v>0.9744</v>
      </c>
      <c r="D34" s="8" t="n">
        <v>0.963</v>
      </c>
      <c r="E34" s="8" t="n">
        <f aca="false">C34/$E$2</f>
        <v>0.0607952801299761</v>
      </c>
      <c r="F34" s="8" t="n">
        <f aca="false">D34/$E$2</f>
        <v>0.0600840053008693</v>
      </c>
      <c r="G34" s="8" t="s">
        <v>103</v>
      </c>
      <c r="H34" s="8"/>
    </row>
    <row r="35" customFormat="false" ht="15" hidden="false" customHeight="false" outlineLevel="0" collapsed="false">
      <c r="A35" s="8" t="n">
        <v>31</v>
      </c>
      <c r="B35" s="8" t="n">
        <v>32</v>
      </c>
      <c r="C35" s="8" t="n">
        <v>0.3105</v>
      </c>
      <c r="D35" s="8" t="n">
        <v>0.3619</v>
      </c>
      <c r="E35" s="8" t="n">
        <f aca="false">C35/$E$2</f>
        <v>0.0193728802138317</v>
      </c>
      <c r="F35" s="8" t="n">
        <f aca="false">D35/$E$2</f>
        <v>0.0225798561976995</v>
      </c>
      <c r="G35" s="8" t="s">
        <v>103</v>
      </c>
      <c r="H35" s="8"/>
    </row>
    <row r="36" customFormat="false" ht="15" hidden="false" customHeight="false" outlineLevel="0" collapsed="false">
      <c r="A36" s="8" t="n">
        <v>32</v>
      </c>
      <c r="B36" s="8" t="n">
        <v>33</v>
      </c>
      <c r="C36" s="8" t="n">
        <v>0.341</v>
      </c>
      <c r="D36" s="8" t="n">
        <v>0.5302</v>
      </c>
      <c r="E36" s="8" t="n">
        <f aca="false">C36/$E$2</f>
        <v>0.0212758523443369</v>
      </c>
      <c r="F36" s="8" t="n">
        <f aca="false">D36/$E$2</f>
        <v>0.0330805188063561</v>
      </c>
      <c r="G36" s="8" t="s">
        <v>103</v>
      </c>
      <c r="H36" s="8"/>
    </row>
    <row r="37" customFormat="false" ht="15" hidden="false" customHeight="false" outlineLevel="0" collapsed="false">
      <c r="A37" s="8" t="n">
        <v>1</v>
      </c>
      <c r="B37" s="8" t="n">
        <v>18</v>
      </c>
      <c r="C37" s="8" t="s">
        <v>109</v>
      </c>
      <c r="D37" s="8" t="s">
        <v>109</v>
      </c>
      <c r="E37" s="8"/>
      <c r="F37" s="8"/>
      <c r="G37" s="8" t="s">
        <v>110</v>
      </c>
      <c r="H37" s="8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3" t="s">
        <v>44</v>
      </c>
      <c r="B3" s="3" t="s">
        <v>23</v>
      </c>
      <c r="C3" s="3" t="s">
        <v>112</v>
      </c>
      <c r="D3" s="3" t="s">
        <v>113</v>
      </c>
      <c r="E3" s="3" t="s">
        <v>114</v>
      </c>
    </row>
    <row r="4" customFormat="false" ht="15" hidden="false" customHeight="false" outlineLevel="0" collapsed="false">
      <c r="A4" s="4" t="n">
        <v>1</v>
      </c>
      <c r="B4" s="4" t="s">
        <v>115</v>
      </c>
      <c r="C4" s="4" t="n">
        <v>0</v>
      </c>
      <c r="D4" s="4"/>
      <c r="E4" s="4" t="s">
        <v>116</v>
      </c>
    </row>
    <row r="5" customFormat="false" ht="15" hidden="false" customHeight="false" outlineLevel="0" collapsed="false">
      <c r="A5" s="4" t="n">
        <v>2</v>
      </c>
      <c r="B5" s="4" t="s">
        <v>31</v>
      </c>
      <c r="C5" s="4" t="n">
        <v>100</v>
      </c>
      <c r="D5" s="4"/>
      <c r="E5" s="4" t="s">
        <v>117</v>
      </c>
    </row>
    <row r="6" customFormat="false" ht="15" hidden="false" customHeight="false" outlineLevel="0" collapsed="false">
      <c r="A6" s="4" t="n">
        <v>3</v>
      </c>
      <c r="B6" s="4" t="s">
        <v>31</v>
      </c>
      <c r="C6" s="4" t="n">
        <v>90</v>
      </c>
      <c r="D6" s="4" t="s">
        <v>118</v>
      </c>
      <c r="E6" s="4"/>
    </row>
    <row r="7" customFormat="false" ht="15" hidden="false" customHeight="false" outlineLevel="0" collapsed="false">
      <c r="A7" s="4" t="n">
        <v>4</v>
      </c>
      <c r="B7" s="4" t="s">
        <v>31</v>
      </c>
      <c r="C7" s="4" t="n">
        <v>120</v>
      </c>
      <c r="D7" s="4" t="s">
        <v>119</v>
      </c>
      <c r="E7" s="4"/>
    </row>
    <row r="8" customFormat="false" ht="15" hidden="false" customHeight="false" outlineLevel="0" collapsed="false">
      <c r="A8" s="4" t="n">
        <v>5</v>
      </c>
      <c r="B8" s="4" t="s">
        <v>31</v>
      </c>
      <c r="C8" s="4" t="n">
        <v>60</v>
      </c>
      <c r="D8" s="4"/>
      <c r="E8" s="4"/>
    </row>
    <row r="9" customFormat="false" ht="15" hidden="false" customHeight="false" outlineLevel="0" collapsed="false">
      <c r="A9" s="4" t="n">
        <v>6</v>
      </c>
      <c r="B9" s="4" t="s">
        <v>37</v>
      </c>
      <c r="C9" s="4" t="n">
        <v>60</v>
      </c>
      <c r="D9" s="4"/>
      <c r="E9" s="4" t="s">
        <v>117</v>
      </c>
    </row>
    <row r="10" customFormat="false" ht="15" hidden="false" customHeight="false" outlineLevel="0" collapsed="false">
      <c r="A10" s="4" t="n">
        <v>7</v>
      </c>
      <c r="B10" s="4" t="s">
        <v>37</v>
      </c>
      <c r="C10" s="4" t="n">
        <v>200</v>
      </c>
      <c r="D10" s="4" t="s">
        <v>118</v>
      </c>
      <c r="E10" s="4"/>
    </row>
    <row r="11" customFormat="false" ht="15" hidden="false" customHeight="false" outlineLevel="0" collapsed="false">
      <c r="A11" s="4" t="n">
        <v>8</v>
      </c>
      <c r="B11" s="4" t="s">
        <v>37</v>
      </c>
      <c r="C11" s="4" t="n">
        <v>200</v>
      </c>
      <c r="D11" s="4" t="s">
        <v>119</v>
      </c>
      <c r="E11" s="4"/>
    </row>
    <row r="12" customFormat="false" ht="15" hidden="false" customHeight="false" outlineLevel="0" collapsed="false">
      <c r="A12" s="4" t="n">
        <v>9</v>
      </c>
      <c r="B12" s="4" t="s">
        <v>37</v>
      </c>
      <c r="C12" s="4" t="n">
        <v>60</v>
      </c>
      <c r="D12" s="4"/>
      <c r="E12" s="4"/>
    </row>
    <row r="13" customFormat="false" ht="15" hidden="false" customHeight="false" outlineLevel="0" collapsed="false">
      <c r="A13" s="4" t="n">
        <v>10</v>
      </c>
      <c r="B13" s="4" t="s">
        <v>35</v>
      </c>
      <c r="C13" s="4" t="n">
        <v>60</v>
      </c>
      <c r="D13" s="4" t="s">
        <v>119</v>
      </c>
      <c r="E13" s="4" t="s">
        <v>117</v>
      </c>
    </row>
    <row r="14" customFormat="false" ht="15" hidden="false" customHeight="false" outlineLevel="0" collapsed="false">
      <c r="A14" s="4" t="n">
        <v>11</v>
      </c>
      <c r="B14" s="4" t="s">
        <v>35</v>
      </c>
      <c r="C14" s="4" t="n">
        <v>45</v>
      </c>
      <c r="D14" s="4" t="s">
        <v>118</v>
      </c>
      <c r="E14" s="4"/>
    </row>
    <row r="15" customFormat="false" ht="15" hidden="false" customHeight="false" outlineLevel="0" collapsed="false">
      <c r="A15" s="4" t="n">
        <v>12</v>
      </c>
      <c r="B15" s="4" t="s">
        <v>35</v>
      </c>
      <c r="C15" s="4" t="n">
        <v>60</v>
      </c>
      <c r="D15" s="4" t="s">
        <v>120</v>
      </c>
      <c r="E15" s="4"/>
    </row>
    <row r="16" customFormat="false" ht="15" hidden="false" customHeight="false" outlineLevel="0" collapsed="false">
      <c r="A16" s="4" t="n">
        <v>13</v>
      </c>
      <c r="B16" s="4" t="s">
        <v>35</v>
      </c>
      <c r="C16" s="4" t="n">
        <v>60</v>
      </c>
      <c r="D16" s="4"/>
      <c r="E16" s="4"/>
    </row>
    <row r="17" customFormat="false" ht="15" hidden="false" customHeight="false" outlineLevel="0" collapsed="false">
      <c r="A17" s="4" t="n">
        <v>14</v>
      </c>
      <c r="B17" s="4" t="s">
        <v>33</v>
      </c>
      <c r="C17" s="4" t="n">
        <v>120</v>
      </c>
      <c r="D17" s="4" t="s">
        <v>119</v>
      </c>
      <c r="E17" s="4" t="s">
        <v>117</v>
      </c>
    </row>
    <row r="18" customFormat="false" ht="15" hidden="false" customHeight="false" outlineLevel="0" collapsed="false">
      <c r="A18" s="4" t="n">
        <v>15</v>
      </c>
      <c r="B18" s="4" t="s">
        <v>33</v>
      </c>
      <c r="C18" s="4" t="n">
        <v>60</v>
      </c>
      <c r="D18" s="4"/>
      <c r="E18" s="4"/>
    </row>
    <row r="19" customFormat="false" ht="15" hidden="false" customHeight="false" outlineLevel="0" collapsed="false">
      <c r="A19" s="4" t="n">
        <v>16</v>
      </c>
      <c r="B19" s="4" t="s">
        <v>33</v>
      </c>
      <c r="C19" s="4" t="n">
        <v>60</v>
      </c>
      <c r="D19" s="4" t="s">
        <v>118</v>
      </c>
      <c r="E19" s="4"/>
    </row>
    <row r="20" customFormat="false" ht="15" hidden="false" customHeight="false" outlineLevel="0" collapsed="false">
      <c r="A20" s="4" t="n">
        <v>17</v>
      </c>
      <c r="B20" s="4" t="s">
        <v>33</v>
      </c>
      <c r="C20" s="4" t="n">
        <v>60</v>
      </c>
      <c r="D20" s="4" t="s">
        <v>120</v>
      </c>
      <c r="E20" s="4"/>
    </row>
    <row r="21" customFormat="false" ht="15" hidden="false" customHeight="false" outlineLevel="0" collapsed="false">
      <c r="A21" s="4" t="n">
        <v>18</v>
      </c>
      <c r="B21" s="4" t="s">
        <v>33</v>
      </c>
      <c r="C21" s="4" t="n">
        <v>90</v>
      </c>
      <c r="D21" s="4"/>
      <c r="E21" s="4"/>
    </row>
    <row r="22" customFormat="false" ht="15" hidden="false" customHeight="false" outlineLevel="0" collapsed="false">
      <c r="A22" s="4" t="n">
        <v>19</v>
      </c>
      <c r="B22" s="4" t="s">
        <v>31</v>
      </c>
      <c r="C22" s="4" t="n">
        <v>90</v>
      </c>
      <c r="D22" s="4"/>
      <c r="E22" s="4"/>
    </row>
    <row r="23" customFormat="false" ht="15" hidden="false" customHeight="false" outlineLevel="0" collapsed="false">
      <c r="A23" s="4" t="n">
        <v>20</v>
      </c>
      <c r="B23" s="4" t="s">
        <v>31</v>
      </c>
      <c r="C23" s="4" t="n">
        <v>90</v>
      </c>
      <c r="D23" s="4"/>
      <c r="E23" s="4"/>
    </row>
    <row r="24" customFormat="false" ht="15" hidden="false" customHeight="false" outlineLevel="0" collapsed="false">
      <c r="A24" s="4" t="n">
        <v>21</v>
      </c>
      <c r="B24" s="4" t="s">
        <v>31</v>
      </c>
      <c r="C24" s="4" t="n">
        <v>90</v>
      </c>
      <c r="D24" s="4" t="s">
        <v>120</v>
      </c>
      <c r="E24" s="4"/>
    </row>
    <row r="25" customFormat="false" ht="15" hidden="false" customHeight="false" outlineLevel="0" collapsed="false">
      <c r="A25" s="4" t="n">
        <v>22</v>
      </c>
      <c r="B25" s="4" t="s">
        <v>31</v>
      </c>
      <c r="C25" s="4" t="n">
        <v>90</v>
      </c>
      <c r="D25" s="4"/>
      <c r="E25" s="4"/>
    </row>
    <row r="26" customFormat="false" ht="15" hidden="false" customHeight="false" outlineLevel="0" collapsed="false">
      <c r="A26" s="4" t="n">
        <v>23</v>
      </c>
      <c r="B26" s="4" t="s">
        <v>33</v>
      </c>
      <c r="C26" s="4" t="n">
        <v>90</v>
      </c>
      <c r="D26" s="4" t="s">
        <v>119</v>
      </c>
      <c r="E26" s="4"/>
    </row>
    <row r="27" customFormat="false" ht="15" hidden="false" customHeight="false" outlineLevel="0" collapsed="false">
      <c r="A27" s="4" t="n">
        <v>24</v>
      </c>
      <c r="B27" s="4" t="s">
        <v>33</v>
      </c>
      <c r="C27" s="4" t="n">
        <v>420</v>
      </c>
      <c r="D27" s="4" t="s">
        <v>118</v>
      </c>
      <c r="E27" s="4"/>
    </row>
    <row r="28" customFormat="false" ht="15" hidden="false" customHeight="false" outlineLevel="0" collapsed="false">
      <c r="A28" s="4" t="n">
        <v>25</v>
      </c>
      <c r="B28" s="4" t="s">
        <v>33</v>
      </c>
      <c r="C28" s="4" t="n">
        <v>420</v>
      </c>
      <c r="D28" s="4"/>
      <c r="E28" s="4"/>
    </row>
    <row r="29" customFormat="false" ht="15" hidden="false" customHeight="false" outlineLevel="0" collapsed="false">
      <c r="A29" s="4" t="n">
        <v>26</v>
      </c>
      <c r="B29" s="4" t="s">
        <v>37</v>
      </c>
      <c r="C29" s="4" t="n">
        <v>60</v>
      </c>
      <c r="D29" s="4"/>
      <c r="E29" s="4"/>
    </row>
    <row r="30" customFormat="false" ht="15" hidden="false" customHeight="false" outlineLevel="0" collapsed="false">
      <c r="A30" s="4" t="n">
        <v>27</v>
      </c>
      <c r="B30" s="4" t="s">
        <v>37</v>
      </c>
      <c r="C30" s="4" t="n">
        <v>60</v>
      </c>
      <c r="D30" s="4"/>
      <c r="E30" s="4"/>
    </row>
    <row r="31" customFormat="false" ht="15" hidden="false" customHeight="false" outlineLevel="0" collapsed="false">
      <c r="A31" s="4" t="n">
        <v>28</v>
      </c>
      <c r="B31" s="4" t="s">
        <v>37</v>
      </c>
      <c r="C31" s="4" t="n">
        <v>60</v>
      </c>
      <c r="D31" s="4" t="s">
        <v>118</v>
      </c>
      <c r="E31" s="4"/>
    </row>
    <row r="32" customFormat="false" ht="15" hidden="false" customHeight="false" outlineLevel="0" collapsed="false">
      <c r="A32" s="4" t="n">
        <v>29</v>
      </c>
      <c r="B32" s="4" t="s">
        <v>37</v>
      </c>
      <c r="C32" s="4" t="n">
        <v>120</v>
      </c>
      <c r="D32" s="4"/>
      <c r="E32" s="4"/>
    </row>
    <row r="33" customFormat="false" ht="15" hidden="false" customHeight="false" outlineLevel="0" collapsed="false">
      <c r="A33" s="4" t="n">
        <v>30</v>
      </c>
      <c r="B33" s="4" t="s">
        <v>37</v>
      </c>
      <c r="C33" s="4" t="n">
        <v>200</v>
      </c>
      <c r="D33" s="4" t="s">
        <v>119</v>
      </c>
      <c r="E33" s="4"/>
    </row>
    <row r="34" customFormat="false" ht="15" hidden="false" customHeight="false" outlineLevel="0" collapsed="false">
      <c r="A34" s="4" t="n">
        <v>31</v>
      </c>
      <c r="B34" s="4" t="s">
        <v>37</v>
      </c>
      <c r="C34" s="4" t="n">
        <v>150</v>
      </c>
      <c r="D34" s="4" t="s">
        <v>120</v>
      </c>
      <c r="E34" s="4"/>
    </row>
    <row r="35" customFormat="false" ht="15" hidden="false" customHeight="false" outlineLevel="0" collapsed="false">
      <c r="A35" s="4" t="n">
        <v>32</v>
      </c>
      <c r="B35" s="4" t="s">
        <v>37</v>
      </c>
      <c r="C35" s="4" t="n">
        <v>210</v>
      </c>
      <c r="D35" s="4"/>
      <c r="E35" s="4"/>
    </row>
    <row r="36" customFormat="false" ht="15" hidden="false" customHeight="false" outlineLevel="0" collapsed="false">
      <c r="A36" s="4" t="n">
        <v>33</v>
      </c>
      <c r="B36" s="4" t="s">
        <v>37</v>
      </c>
      <c r="C36" s="4" t="n">
        <v>60</v>
      </c>
      <c r="D36" s="4"/>
      <c r="E3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16.1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3" t="s">
        <v>2</v>
      </c>
      <c r="B3" s="3" t="s">
        <v>122</v>
      </c>
    </row>
    <row r="4" customFormat="false" ht="35.05" hidden="false" customHeight="false" outlineLevel="0" collapsed="false">
      <c r="A4" s="9" t="s">
        <v>123</v>
      </c>
      <c r="B4" s="4" t="s">
        <v>124</v>
      </c>
    </row>
    <row r="5" customFormat="false" ht="23.85" hidden="false" customHeight="false" outlineLevel="0" collapsed="false">
      <c r="A5" s="9" t="s">
        <v>125</v>
      </c>
      <c r="B5" s="4" t="s">
        <v>126</v>
      </c>
    </row>
    <row r="6" customFormat="false" ht="35.05" hidden="false" customHeight="false" outlineLevel="0" collapsed="false">
      <c r="A6" s="9" t="s">
        <v>127</v>
      </c>
      <c r="B6" s="4" t="s">
        <v>128</v>
      </c>
    </row>
    <row r="7" customFormat="false" ht="23.85" hidden="false" customHeight="false" outlineLevel="0" collapsed="false">
      <c r="A7" s="9" t="s">
        <v>129</v>
      </c>
      <c r="B7" s="4" t="s">
        <v>130</v>
      </c>
    </row>
    <row r="8" customFormat="false" ht="23.85" hidden="false" customHeight="false" outlineLevel="0" collapsed="false">
      <c r="A8" s="9" t="s">
        <v>131</v>
      </c>
      <c r="B8" s="4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2026-06-15T15:53:58Z</dcterms:created>
  <dc:creator>openpyxl</dc:creator>
  <dc:description/>
  <dc:language>en-US</dc:language>
  <cp:lastModifiedBy/>
  <dcterms:modified xsi:type="dcterms:W3CDTF">2026-06-15T15:53:58Z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