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E:\claude\DRCC\FromMac\Final\github\"/>
    </mc:Choice>
  </mc:AlternateContent>
  <xr:revisionPtr revIDLastSave="0" documentId="13_ncr:1_{EDAB4822-66E5-4D27-9610-FD464E31FA24}" xr6:coauthVersionLast="36" xr6:coauthVersionMax="36" xr10:uidLastSave="{00000000-0000-0000-0000-000000000000}"/>
  <bookViews>
    <workbookView xWindow="930" yWindow="0" windowWidth="16380" windowHeight="8190" tabRatio="500" firstSheet="17" activeTab="18" xr2:uid="{00000000-000D-0000-FFFF-FFFF00000000}"/>
  </bookViews>
  <sheets>
    <sheet name="README" sheetId="1" r:id="rId1"/>
    <sheet name="MG_Partition_33" sheetId="2" r:id="rId2"/>
    <sheet name="Bus_Data_33" sheetId="3" r:id="rId3"/>
    <sheet name="Line_Data_33" sheetId="4" r:id="rId4"/>
    <sheet name="DER_Placement_33" sheetId="5" r:id="rId5"/>
    <sheet name="SG_Parameters" sheetId="6" r:id="rId6"/>
    <sheet name="WT_Parameters" sheetId="7" r:id="rId7"/>
    <sheet name="PV_Parameters" sheetId="8" r:id="rId8"/>
    <sheet name="Storage_SESS" sheetId="9" r:id="rId9"/>
    <sheet name="Frequency_Limits" sheetId="10" r:id="rId10"/>
    <sheet name="DRCC_Parameters" sheetId="11" r:id="rId11"/>
    <sheet name="Cost_Coefficients" sheetId="12" r:id="rId12"/>
    <sheet name="Sampling" sheetId="13" r:id="rId13"/>
    <sheet name="Benchmark_Methods" sheetId="14" r:id="rId14"/>
    <sheet name="Penetration_Scenarios" sheetId="15" r:id="rId15"/>
    <sheet name="Renewable_Data" sheetId="16" r:id="rId16"/>
    <sheet name="Nominal_Profiles" sheetId="17" r:id="rId17"/>
    <sheet name="Renewable_ErrorStats" sheetId="18" r:id="rId18"/>
    <sheet name="System_123" sheetId="19" r:id="rId19"/>
  </sheet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4" l="1"/>
  <c r="F35" i="4"/>
  <c r="F34" i="4"/>
  <c r="E34" i="4"/>
  <c r="F33" i="4"/>
  <c r="E33" i="4"/>
  <c r="F32" i="4"/>
  <c r="F31" i="4"/>
  <c r="E31" i="4"/>
  <c r="F30" i="4"/>
  <c r="E30" i="4"/>
  <c r="F29" i="4"/>
  <c r="E29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B2" i="4"/>
  <c r="F36" i="4" s="1"/>
  <c r="E32" i="4" l="1"/>
  <c r="E35" i="4"/>
  <c r="F12" i="4"/>
  <c r="F20" i="4"/>
  <c r="F28" i="4"/>
</calcChain>
</file>

<file path=xl/sharedStrings.xml><?xml version="1.0" encoding="utf-8"?>
<sst xmlns="http://schemas.openxmlformats.org/spreadsheetml/2006/main" count="646" uniqueCount="357">
  <si>
    <t>DRFC — Consolidated Initial Data</t>
  </si>
  <si>
    <t>All inputs for: Distributionally Robust Frequency-Constrained Dispatch of Microgrid Clusters</t>
  </si>
  <si>
    <t>Sheet</t>
  </si>
  <si>
    <t>Contents</t>
  </si>
  <si>
    <t>MG_Partition_33</t>
  </si>
  <si>
    <t>Microgrid bus partition, PCC, unit counts, peak load (33-bus)</t>
  </si>
  <si>
    <t>Bus_Data_33</t>
  </si>
  <si>
    <t>Per-bus microgrid, active load, DER, role (33-bus)</t>
  </si>
  <si>
    <t>Line_Data_33</t>
  </si>
  <si>
    <t>Branch R/X (ohm + p.u.), RCS tie-switches (33-bus)</t>
  </si>
  <si>
    <t>DER_Placement_33</t>
  </si>
  <si>
    <t>Every DER: type, microgrid, bus, rating (33-bus)</t>
  </si>
  <si>
    <t>SG_Parameters</t>
  </si>
  <si>
    <t>Synchronous-generator parameters (both systems)</t>
  </si>
  <si>
    <t>WT_Parameters</t>
  </si>
  <si>
    <t>Wind-turbine parameters (both systems)</t>
  </si>
  <si>
    <t>PV_Parameters</t>
  </si>
  <si>
    <t>PV-array parameters (both systems)</t>
  </si>
  <si>
    <t>Storage_SESS</t>
  </si>
  <si>
    <t>Shared energy storage parameters (both systems)</t>
  </si>
  <si>
    <t>Frequency_Limits</t>
  </si>
  <si>
    <t>RoCoF / nadir / QSS limits and PFR settings</t>
  </si>
  <si>
    <t>DRCC_Parameters</t>
  </si>
  <si>
    <t>CVaR / Wasserstein / chance-constraint parameters</t>
  </si>
  <si>
    <t>Cost_Coefficients</t>
  </si>
  <si>
    <t>Generation, penalty, grid and UFLS cost coefficients</t>
  </si>
  <si>
    <t>Sampling</t>
  </si>
  <si>
    <t>Training/validation/test split, islanding events, seed</t>
  </si>
  <si>
    <t>Benchmark_Methods</t>
  </si>
  <si>
    <t>The eight compared methods and their settings</t>
  </si>
  <si>
    <t>Penetration_Scenarios</t>
  </si>
  <si>
    <t>Renewable-penetration sensitivity scenarios</t>
  </si>
  <si>
    <t>Renewable_Data</t>
  </si>
  <si>
    <t>Wind/solar data sources and generation method</t>
  </si>
  <si>
    <t>Nominal_Profiles</t>
  </si>
  <si>
    <t>24-h nominal wind CF, PV CF, TOU price, load shapes</t>
  </si>
  <si>
    <t>Renewable_ErrorStats</t>
  </si>
  <si>
    <t>Per-hour forecast-error statistics (wind &amp; PV)</t>
  </si>
  <si>
    <t>System_123</t>
  </si>
  <si>
    <t>IEEE 123-bus / 6-MG partition and capacities</t>
  </si>
  <si>
    <t>Base values: 12.66 kV, 10.0 MVA (Z_base=16.0276 ohm); nominal frequency f0=50 Hz; horizon 24 h (hourly).</t>
  </si>
  <si>
    <t>Conventions: droop gain 1/R=Pmax/(R*f0) [MW/Hz]; unit inertia H*Pmax [MW*s]; shared-ESS inertia/droop split equally across K microgrids.</t>
  </si>
  <si>
    <t>Microgrid partition (33-bus)</t>
  </si>
  <si>
    <t>MG</t>
  </si>
  <si>
    <t>Buses</t>
  </si>
  <si>
    <t>#Buses</t>
  </si>
  <si>
    <t>PCC</t>
  </si>
  <si>
    <t>#SG</t>
  </si>
  <si>
    <t>#WT</t>
  </si>
  <si>
    <t>#PV</t>
  </si>
  <si>
    <t>SG MW</t>
  </si>
  <si>
    <t>WT MW</t>
  </si>
  <si>
    <t>PV MW</t>
  </si>
  <si>
    <t>Peak load MW</t>
  </si>
  <si>
    <t>MG1</t>
  </si>
  <si>
    <t>2, 3, 4, 5, 19, 20, 21, 22</t>
  </si>
  <si>
    <t>MG2</t>
  </si>
  <si>
    <t>14, 15, 16, 17, 18, 23, 24, 25</t>
  </si>
  <si>
    <t>MG3</t>
  </si>
  <si>
    <t>10, 11, 12, 13</t>
  </si>
  <si>
    <t>MG4</t>
  </si>
  <si>
    <t>6, 7, 8, 9, 26, 27, 28, 29, 30, 31, 32, 33</t>
  </si>
  <si>
    <t>Bus 1 = substation / upstream grid (not in any MG). Peak load = aggregate per-MG demand used in the case study (data pipeline); the per-bus kW on Bus_Data_33 are the standard IEEE33 allocation weights.</t>
  </si>
  <si>
    <t>Bus data (33-bus)</t>
  </si>
  <si>
    <t>Bus</t>
  </si>
  <si>
    <t>Microgrid</t>
  </si>
  <si>
    <t>P load (kW)</t>
  </si>
  <si>
    <t>DER(s)</t>
  </si>
  <si>
    <t>Role</t>
  </si>
  <si>
    <t>Grid (substation)</t>
  </si>
  <si>
    <t>substation/PCC</t>
  </si>
  <si>
    <t>MG PCC</t>
  </si>
  <si>
    <t>SG</t>
  </si>
  <si>
    <t>PV</t>
  </si>
  <si>
    <t>WT</t>
  </si>
  <si>
    <t>Branch data (33-bus, standard IEEE 33-bus)</t>
  </si>
  <si>
    <t>Z_base (ohm) =</t>
  </si>
  <si>
    <t>From</t>
  </si>
  <si>
    <t>To</t>
  </si>
  <si>
    <t>R (ohm)</t>
  </si>
  <si>
    <t>X (ohm)</t>
  </si>
  <si>
    <t>R (pu)</t>
  </si>
  <si>
    <t>X (pu)</t>
  </si>
  <si>
    <t>Classification</t>
  </si>
  <si>
    <t>RCS?</t>
  </si>
  <si>
    <t>substation feeder</t>
  </si>
  <si>
    <t>intra MG1</t>
  </si>
  <si>
    <t>tie MG1-MG4</t>
  </si>
  <si>
    <t>yes</t>
  </si>
  <si>
    <t>intra MG4</t>
  </si>
  <si>
    <t>tie MG4-MG3</t>
  </si>
  <si>
    <t>intra MG3</t>
  </si>
  <si>
    <t>tie MG3-MG2</t>
  </si>
  <si>
    <t>intra MG2</t>
  </si>
  <si>
    <t>tie MG1-MG2</t>
  </si>
  <si>
    <t>(added)</t>
  </si>
  <si>
    <t>added tie Grid-MG2</t>
  </si>
  <si>
    <t>DER placement &amp; ratings (33-bus)</t>
  </si>
  <si>
    <t>Unit</t>
  </si>
  <si>
    <t>Type</t>
  </si>
  <si>
    <t>Rating (MW)</t>
  </si>
  <si>
    <t>Key PFR params</t>
  </si>
  <si>
    <t>SG1</t>
  </si>
  <si>
    <t>Synchronous generator</t>
  </si>
  <si>
    <t>R=0.05, Tg=8.0s, H=4.0s</t>
  </si>
  <si>
    <t>WT1</t>
  </si>
  <si>
    <t>Wind turbine (deloaded)</t>
  </si>
  <si>
    <t>R=0.05, Tw=0.2s, dmax=0.2</t>
  </si>
  <si>
    <t>PV1</t>
  </si>
  <si>
    <t>PV array</t>
  </si>
  <si>
    <t>-</t>
  </si>
  <si>
    <t>SG2a</t>
  </si>
  <si>
    <t>SG2b</t>
  </si>
  <si>
    <t>WT2</t>
  </si>
  <si>
    <t>PV2a</t>
  </si>
  <si>
    <t>PV2b</t>
  </si>
  <si>
    <t>SG3</t>
  </si>
  <si>
    <t>WT3</t>
  </si>
  <si>
    <t>PV3</t>
  </si>
  <si>
    <t>SG4a</t>
  </si>
  <si>
    <t>SG4b</t>
  </si>
  <si>
    <t>WT4</t>
  </si>
  <si>
    <t>PV4a</t>
  </si>
  <si>
    <t>PV4b</t>
  </si>
  <si>
    <t>Synchronous-generator parameters</t>
  </si>
  <si>
    <t>System</t>
  </si>
  <si>
    <t>Pmin MW</t>
  </si>
  <si>
    <t>Pmax MW</t>
  </si>
  <si>
    <t>Ramp+ MW/h</t>
  </si>
  <si>
    <t>Ramp- MW/h</t>
  </si>
  <si>
    <t>MinUp h</t>
  </si>
  <si>
    <t>MinDn h</t>
  </si>
  <si>
    <t>Cost $/MWh</t>
  </si>
  <si>
    <t>NoLoad $/h</t>
  </si>
  <si>
    <t>Droop R</t>
  </si>
  <si>
    <t>Tg s</t>
  </si>
  <si>
    <t>H s</t>
  </si>
  <si>
    <t>Reserve MW</t>
  </si>
  <si>
    <t>33-bus</t>
  </si>
  <si>
    <t>123-bus</t>
  </si>
  <si>
    <t>SG1a</t>
  </si>
  <si>
    <t>SG1b</t>
  </si>
  <si>
    <t>SG2c</t>
  </si>
  <si>
    <t>SG3a</t>
  </si>
  <si>
    <t>SG3b</t>
  </si>
  <si>
    <t>MG5</t>
  </si>
  <si>
    <t>SG5a</t>
  </si>
  <si>
    <t>SG5b</t>
  </si>
  <si>
    <t>SG5c</t>
  </si>
  <si>
    <t>MG6</t>
  </si>
  <si>
    <t>SG6a</t>
  </si>
  <si>
    <t>SG6b</t>
  </si>
  <si>
    <t>Wind-turbine parameters</t>
  </si>
  <si>
    <t>Cap MW</t>
  </si>
  <si>
    <t>delta_max</t>
  </si>
  <si>
    <t>Tw s</t>
  </si>
  <si>
    <t>WT2a</t>
  </si>
  <si>
    <t>WT2b</t>
  </si>
  <si>
    <t>WT5a</t>
  </si>
  <si>
    <t>WT5b</t>
  </si>
  <si>
    <t>WT6</t>
  </si>
  <si>
    <t>PV-array parameters</t>
  </si>
  <si>
    <t>PV2</t>
  </si>
  <si>
    <t>PV5</t>
  </si>
  <si>
    <t>PV6</t>
  </si>
  <si>
    <t>Shared energy storage (SESS)</t>
  </si>
  <si>
    <t>E_max MWh</t>
  </si>
  <si>
    <t>E_min MWh</t>
  </si>
  <si>
    <t>P_max MW</t>
  </si>
  <si>
    <t>eta_ch</t>
  </si>
  <si>
    <t>eta_dis</t>
  </si>
  <si>
    <t>SoC0 frac</t>
  </si>
  <si>
    <t>Cyc $/MWh</t>
  </si>
  <si>
    <t>H_e s</t>
  </si>
  <si>
    <t>R_e</t>
  </si>
  <si>
    <t>Te_IR s</t>
  </si>
  <si>
    <t>Te s</t>
  </si>
  <si>
    <t>K</t>
  </si>
  <si>
    <t>Frequency-security limits &amp; PFR settings</t>
  </si>
  <si>
    <t>Parameter</t>
  </si>
  <si>
    <t>Symbol</t>
  </si>
  <si>
    <t>Value</t>
  </si>
  <si>
    <t>Nominal frequency</t>
  </si>
  <si>
    <t>f0</t>
  </si>
  <si>
    <t>Hz</t>
  </si>
  <si>
    <t>RoCoF limit</t>
  </si>
  <si>
    <t>RoCoF_max</t>
  </si>
  <si>
    <t>Hz/s</t>
  </si>
  <si>
    <t>Nadir floor</t>
  </si>
  <si>
    <t>f_min</t>
  </si>
  <si>
    <t>QSS deviation cap</t>
  </si>
  <si>
    <t>df_qss,max</t>
  </si>
  <si>
    <t>Load-damping coefficient</t>
  </si>
  <si>
    <t>D_coef</t>
  </si>
  <si>
    <t>MW/Hz per peak-MW</t>
  </si>
  <si>
    <t>PFR time step</t>
  </si>
  <si>
    <t>dt_PFR</t>
  </si>
  <si>
    <t>s</t>
  </si>
  <si>
    <t>PFR window</t>
  </si>
  <si>
    <t>T_PFR</t>
  </si>
  <si>
    <t>DRCC / Wasserstein / CVaR parameters</t>
  </si>
  <si>
    <t>Note</t>
  </si>
  <si>
    <t>CVaR risk level (initial)</t>
  </si>
  <si>
    <t>alpha^(0)</t>
  </si>
  <si>
    <t>start of alternating minimization</t>
  </si>
  <si>
    <t>CVaR risk level (operating)</t>
  </si>
  <si>
    <t>alpha</t>
  </si>
  <si>
    <t>after alternating minimization</t>
  </si>
  <si>
    <t>Wasserstein radius (operating)</t>
  </si>
  <si>
    <t>epsilon</t>
  </si>
  <si>
    <t>N=300 (see Sampling)</t>
  </si>
  <si>
    <t>Confidence level</t>
  </si>
  <si>
    <t>beta</t>
  </si>
  <si>
    <t>finite-sample guarantee</t>
  </si>
  <si>
    <t>Frequency chance budget</t>
  </si>
  <si>
    <t>eta</t>
  </si>
  <si>
    <t>joint freq violation budget</t>
  </si>
  <si>
    <t>System chance budget</t>
  </si>
  <si>
    <t>gamma</t>
  </si>
  <si>
    <t>power-balance / line budget</t>
  </si>
  <si>
    <t>Effective dimension</t>
  </si>
  <si>
    <t>d_eff</t>
  </si>
  <si>
    <t>in radius formula eq.(15)</t>
  </si>
  <si>
    <t>Support diameter</t>
  </si>
  <si>
    <t>diam(Xi)</t>
  </si>
  <si>
    <t>radius formula constant</t>
  </si>
  <si>
    <t>Radius constants</t>
  </si>
  <si>
    <t>c1, c2</t>
  </si>
  <si>
    <t>1.0, 1.0</t>
  </si>
  <si>
    <t>radius formula constants</t>
  </si>
  <si>
    <t>Cost coefficients</t>
  </si>
  <si>
    <t>C_shed</t>
  </si>
  <si>
    <t>$/MWh</t>
  </si>
  <si>
    <t>Renewable-curtailment penalty</t>
  </si>
  <si>
    <t>C_curt</t>
  </si>
  <si>
    <t>Reserve-violation penalty</t>
  </si>
  <si>
    <t>C_res</t>
  </si>
  <si>
    <t>$/MW</t>
  </si>
  <si>
    <t>Grid import price</t>
  </si>
  <si>
    <t>C_buy</t>
  </si>
  <si>
    <t>Grid export price</t>
  </si>
  <si>
    <t>C_sell</t>
  </si>
  <si>
    <t>WT O&amp;M / curtailment opportunity</t>
  </si>
  <si>
    <t>c_WT</t>
  </si>
  <si>
    <t>PV O&amp;M</t>
  </si>
  <si>
    <t>c_PV</t>
  </si>
  <si>
    <t>Max sheddable load fraction</t>
  </si>
  <si>
    <t>kappa_max</t>
  </si>
  <si>
    <t>Value of lost load (UFLS)</t>
  </si>
  <si>
    <t>C_ufls</t>
  </si>
  <si>
    <t>Islanding probability weight</t>
  </si>
  <si>
    <t>p_island</t>
  </si>
  <si>
    <t>UFLS load block per event</t>
  </si>
  <si>
    <t>fraction of load</t>
  </si>
  <si>
    <t>Scenario sampling &amp; evaluation</t>
  </si>
  <si>
    <t>Item</t>
  </si>
  <si>
    <t>Training samples N</t>
  </si>
  <si>
    <t>empirical Wasserstein distribution</t>
  </si>
  <si>
    <t>Validation samples</t>
  </si>
  <si>
    <t>out-of-sample radius/alpha tuning</t>
  </si>
  <si>
    <t>Test scenarios</t>
  </si>
  <si>
    <t>out-of-sample cost evaluation</t>
  </si>
  <si>
    <t>Islanding events</t>
  </si>
  <si>
    <t>random islanding events for frequency check</t>
  </si>
  <si>
    <t>Total historical days</t>
  </si>
  <si>
    <t>~365</t>
  </si>
  <si>
    <t>common aligned PV+wind days (Tronder record)</t>
  </si>
  <si>
    <t>Random seed</t>
  </si>
  <si>
    <t>reproducibility</t>
  </si>
  <si>
    <t>Sample-size sweep</t>
  </si>
  <si>
    <t>50,100,200,300,400,500</t>
  </si>
  <si>
    <t>Table III sensitivity</t>
  </si>
  <si>
    <t>Compared methods (eight)</t>
  </si>
  <si>
    <t>Method</t>
  </si>
  <si>
    <t>Description / setting</t>
  </si>
  <si>
    <t>DET</t>
  </si>
  <si>
    <t>Deterministic dispatch on forecasts; no uncertainty handling.</t>
  </si>
  <si>
    <t>SO</t>
  </si>
  <si>
    <t>Scenario stochastic optimization; 100 Monte-Carlo scenarios from an assumed normal distribution.</t>
  </si>
  <si>
    <t>RO</t>
  </si>
  <si>
    <t>Budget-based robust optimization; conservatism parameter Gamma = 5.</t>
  </si>
  <si>
    <t>CVaR-SO</t>
  </si>
  <si>
    <t>CVaR-constrained SO on the empirical distribution (no Wasserstein ball).</t>
  </si>
  <si>
    <t>Box-RO</t>
  </si>
  <si>
    <t>Interval robust optimization; each uncertain parameter in its observed min-max range, no budget.</t>
  </si>
  <si>
    <t>DRCC-no-FC</t>
  </si>
  <si>
    <t>Proposed DRCC with the frequency constraints removed (ablation).</t>
  </si>
  <si>
    <t>No-Sharing</t>
  </si>
  <si>
    <t>Each MG has dedicated storage of equal total capacity (1.25 MWh / 0.5 MW per MG); no sharing (ablation).</t>
  </si>
  <si>
    <t>Prop. (DRCC)</t>
  </si>
  <si>
    <t>Proposed Wasserstein DRCC with joint frequency chance constraints and shared storage.</t>
  </si>
  <si>
    <t>Renewable-penetration sensitivity</t>
  </si>
  <si>
    <t>Scenario</t>
  </si>
  <si>
    <t>Renewable penetration</t>
  </si>
  <si>
    <t>Low</t>
  </si>
  <si>
    <t>30%</t>
  </si>
  <si>
    <t>renewable forecast energy / total daily load</t>
  </si>
  <si>
    <t>Base</t>
  </si>
  <si>
    <t>50%</t>
  </si>
  <si>
    <t>nominal case (Tables I-IV, VI)</t>
  </si>
  <si>
    <t>High</t>
  </si>
  <si>
    <t>70%</t>
  </si>
  <si>
    <t>stress case for high renewable uncertainty</t>
  </si>
  <si>
    <t>Wind / solar data: sources &amp; generation method</t>
  </si>
  <si>
    <t>Dataset</t>
  </si>
  <si>
    <t>Resolution</t>
  </si>
  <si>
    <t>Coverage</t>
  </si>
  <si>
    <t>Tronder Energi AI hackathon 2021 (train.csv)</t>
  </si>
  <si>
    <t>Hourly</t>
  </si>
  <si>
    <t>396 days</t>
  </si>
  <si>
    <t>Primary source: actual PV/wind/consumption + NWP weather features; basis of the day-ahead forecast and forecast-error samples; spot-market price shape.</t>
  </si>
  <si>
    <t>50-prosumer PV &amp; load</t>
  </si>
  <si>
    <t>15-min</t>
  </si>
  <si>
    <t>50 prosumers + 40 EVs</t>
  </si>
  <si>
    <t>Reference load magnitudes / spatial load diversity across microgrids.</t>
  </si>
  <si>
    <t>NREL wind speed (5-min, 2008-2012)</t>
  </si>
  <si>
    <t>5-min</t>
  </si>
  <si>
    <t>2008-2012</t>
  </si>
  <si>
    <t>Auxiliary wind-speed reference.</t>
  </si>
  <si>
    <t>PV + external temperature 2019</t>
  </si>
  <si>
    <t>Full year 2019</t>
  </si>
  <si>
    <t>Auxiliary PV-generation reference.</t>
  </si>
  <si>
    <t>Market clearing prices</t>
  </si>
  <si>
    <t>2025</t>
  </si>
  <si>
    <t>Auxiliary price reference.</t>
  </si>
  <si>
    <t>Forecast &amp; forecast-error generation method:</t>
  </si>
  <si>
    <t>1. Normalise actual PV/wind to capacity factors (CF in [0,1]) using the 99.5th percentile as capacity.</t>
  </si>
  <si>
    <t>2. Fit a ridge regression (lambda=5, standardised features) of CF on NWP features to obtain the day-ahead forecast P_hat:</t>
  </si>
  <si>
    <t xml:space="preserve">     PV features: clear_sky_rad, global_rad, direct_rad, diffuse_rad, sun_elevation, effective_cloud_cover.</t>
  </si>
  <si>
    <t xml:space="preserve">     Wind features: wind_speed_100m/50m/10m, temperature, relative_humidity_100m.</t>
  </si>
  <si>
    <t>3. Forecast-error samples xi = (actual CF - forecast CF) per day x hour; scaled by unit capacity (MW) and err_scale = 1.4.</t>
  </si>
  <si>
    <t>4. Nominal day-ahead forecast = median daily forecast profile (see Nominal_Profiles).</t>
  </si>
  <si>
    <t>5. Spatial heterogeneity: per-MG time-of-day roll (mg_phase_span = 12 h) and history-day roll (spatial_day_offset = 60 d)</t>
  </si>
  <si>
    <t xml:space="preserve">     decorrelate cross-MG shortfalls -&gt; complementary uncertainty -&gt; shared-storage value.</t>
  </si>
  <si>
    <t>6. Split the resulting day samples into N_train = 300 / N_valid = 65 (and 100 test scenarios); seed = 2024.</t>
  </si>
  <si>
    <t>24-h nominal profiles (capacity factors / normalised)</t>
  </si>
  <si>
    <t>Hour</t>
  </si>
  <si>
    <t>Wind CF</t>
  </si>
  <si>
    <t>PV CF</t>
  </si>
  <si>
    <t>TOU price (norm, mean=1)</t>
  </si>
  <si>
    <t>Load: industrial (norm)</t>
  </si>
  <si>
    <t>Load: general (norm)</t>
  </si>
  <si>
    <t>Wind/PV CF are the designed nominal day-ahead shapes (x installed capacity = forecast MW); data-derived forecast errors (Renewable_Data) are added on top. Price x C_buy = $/MWh.</t>
  </si>
  <si>
    <t>Forecast-error statistics (capacity-factor residuals)</t>
  </si>
  <si>
    <t>Wind CF error std</t>
  </si>
  <si>
    <t>PV CF error std</t>
  </si>
  <si>
    <t>Overall forecast RMSE (CF): wind=0.1548, PV=0.1018; days=396. Errors scaled by err_scale=1.4 and unit capacity to MW.</t>
  </si>
  <si>
    <t>IEEE 123-bus / 6-MG system</t>
  </si>
  <si>
    <t>Peak MW</t>
  </si>
  <si>
    <t>1-20</t>
  </si>
  <si>
    <t>21-42</t>
  </si>
  <si>
    <t>43-64</t>
  </si>
  <si>
    <t>65-85</t>
  </si>
  <si>
    <t>86-105</t>
  </si>
  <si>
    <t>106-123</t>
  </si>
  <si>
    <t>Totals: installed generation 62.5 MW; peak load 28 MW; shared storage 10 MWh / 3 MW.</t>
  </si>
  <si>
    <t>Load-shedding penalty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</si>
</sst>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78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86" customWidth="1"/>
  </cols>
  <sheetData>
    <row r="1" spans="1:2" ht="16.5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4" t="s">
        <v>6</v>
      </c>
      <c r="B6" s="4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4" t="s">
        <v>10</v>
      </c>
      <c r="B8" s="4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4" t="s">
        <v>14</v>
      </c>
      <c r="B10" s="4" t="s">
        <v>15</v>
      </c>
    </row>
    <row r="11" spans="1:2" x14ac:dyDescent="0.25">
      <c r="A11" s="4" t="s">
        <v>16</v>
      </c>
      <c r="B11" s="4" t="s">
        <v>17</v>
      </c>
    </row>
    <row r="12" spans="1:2" x14ac:dyDescent="0.25">
      <c r="A12" s="4" t="s">
        <v>18</v>
      </c>
      <c r="B12" s="4" t="s">
        <v>19</v>
      </c>
    </row>
    <row r="13" spans="1:2" x14ac:dyDescent="0.25">
      <c r="A13" s="4" t="s">
        <v>20</v>
      </c>
      <c r="B13" s="4" t="s">
        <v>21</v>
      </c>
    </row>
    <row r="14" spans="1:2" x14ac:dyDescent="0.25">
      <c r="A14" s="4" t="s">
        <v>22</v>
      </c>
      <c r="B14" s="4" t="s">
        <v>23</v>
      </c>
    </row>
    <row r="15" spans="1:2" x14ac:dyDescent="0.25">
      <c r="A15" s="4" t="s">
        <v>24</v>
      </c>
      <c r="B15" s="4" t="s">
        <v>25</v>
      </c>
    </row>
    <row r="16" spans="1:2" x14ac:dyDescent="0.25">
      <c r="A16" s="4" t="s">
        <v>26</v>
      </c>
      <c r="B16" s="4" t="s">
        <v>27</v>
      </c>
    </row>
    <row r="17" spans="1:2" x14ac:dyDescent="0.25">
      <c r="A17" s="4" t="s">
        <v>28</v>
      </c>
      <c r="B17" s="4" t="s">
        <v>29</v>
      </c>
    </row>
    <row r="18" spans="1:2" x14ac:dyDescent="0.25">
      <c r="A18" s="4" t="s">
        <v>30</v>
      </c>
      <c r="B18" s="4" t="s">
        <v>31</v>
      </c>
    </row>
    <row r="19" spans="1:2" x14ac:dyDescent="0.25">
      <c r="A19" s="4" t="s">
        <v>32</v>
      </c>
      <c r="B19" s="4" t="s">
        <v>33</v>
      </c>
    </row>
    <row r="20" spans="1:2" x14ac:dyDescent="0.25">
      <c r="A20" s="4" t="s">
        <v>34</v>
      </c>
      <c r="B20" s="4" t="s">
        <v>35</v>
      </c>
    </row>
    <row r="21" spans="1:2" x14ac:dyDescent="0.25">
      <c r="A21" s="4" t="s">
        <v>36</v>
      </c>
      <c r="B21" s="4" t="s">
        <v>37</v>
      </c>
    </row>
    <row r="22" spans="1:2" x14ac:dyDescent="0.25">
      <c r="A22" s="4" t="s">
        <v>38</v>
      </c>
      <c r="B22" s="4" t="s">
        <v>39</v>
      </c>
    </row>
    <row r="24" spans="1:2" x14ac:dyDescent="0.25">
      <c r="A24" s="5" t="s">
        <v>40</v>
      </c>
    </row>
    <row r="25" spans="1:2" x14ac:dyDescent="0.25">
      <c r="A25" s="5" t="s">
        <v>41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F12" sqref="F12"/>
    </sheetView>
  </sheetViews>
  <sheetFormatPr defaultColWidth="8.7109375" defaultRowHeight="15" x14ac:dyDescent="0.25"/>
  <cols>
    <col min="1" max="1" width="6" customWidth="1"/>
    <col min="2" max="2" width="30" customWidth="1"/>
    <col min="3" max="3" width="7" customWidth="1"/>
    <col min="4" max="4" width="6" customWidth="1"/>
    <col min="5" max="7" width="5" customWidth="1"/>
    <col min="8" max="10" width="8" customWidth="1"/>
    <col min="11" max="11" width="12" customWidth="1"/>
  </cols>
  <sheetData>
    <row r="1" spans="1:11" ht="16.5" x14ac:dyDescent="0.25">
      <c r="A1" s="1" t="s">
        <v>42</v>
      </c>
    </row>
    <row r="3" spans="1:11" ht="30" x14ac:dyDescent="0.25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</row>
    <row r="4" spans="1:11" x14ac:dyDescent="0.25">
      <c r="A4" s="4" t="s">
        <v>54</v>
      </c>
      <c r="B4" s="4" t="s">
        <v>55</v>
      </c>
      <c r="C4" s="4">
        <v>8</v>
      </c>
      <c r="D4" s="4">
        <v>2</v>
      </c>
      <c r="E4" s="4">
        <v>1</v>
      </c>
      <c r="F4" s="4">
        <v>1</v>
      </c>
      <c r="G4" s="4">
        <v>1</v>
      </c>
      <c r="H4" s="4">
        <v>3.5</v>
      </c>
      <c r="I4" s="4">
        <v>1.8</v>
      </c>
      <c r="J4" s="4">
        <v>1.2</v>
      </c>
      <c r="K4" s="4">
        <v>2.4</v>
      </c>
    </row>
    <row r="5" spans="1:11" x14ac:dyDescent="0.25">
      <c r="A5" s="4" t="s">
        <v>56</v>
      </c>
      <c r="B5" s="4" t="s">
        <v>57</v>
      </c>
      <c r="C5" s="4">
        <v>8</v>
      </c>
      <c r="D5" s="4">
        <v>14</v>
      </c>
      <c r="E5" s="4">
        <v>2</v>
      </c>
      <c r="F5" s="4">
        <v>1</v>
      </c>
      <c r="G5" s="4">
        <v>2</v>
      </c>
      <c r="H5" s="4">
        <v>5</v>
      </c>
      <c r="I5" s="4">
        <v>2.7</v>
      </c>
      <c r="J5" s="4">
        <v>1.5</v>
      </c>
      <c r="K5" s="4">
        <v>3</v>
      </c>
    </row>
    <row r="6" spans="1:11" x14ac:dyDescent="0.25">
      <c r="A6" s="4" t="s">
        <v>58</v>
      </c>
      <c r="B6" s="4" t="s">
        <v>59</v>
      </c>
      <c r="C6" s="4">
        <v>4</v>
      </c>
      <c r="D6" s="4">
        <v>18</v>
      </c>
      <c r="E6" s="4">
        <v>1</v>
      </c>
      <c r="F6" s="4">
        <v>1</v>
      </c>
      <c r="G6" s="4">
        <v>1</v>
      </c>
      <c r="H6" s="4">
        <v>3</v>
      </c>
      <c r="I6" s="4">
        <v>2</v>
      </c>
      <c r="J6" s="4">
        <v>1</v>
      </c>
      <c r="K6" s="4">
        <v>1.8</v>
      </c>
    </row>
    <row r="7" spans="1:11" ht="25.5" x14ac:dyDescent="0.25">
      <c r="A7" s="4" t="s">
        <v>60</v>
      </c>
      <c r="B7" s="4" t="s">
        <v>61</v>
      </c>
      <c r="C7" s="4">
        <v>12</v>
      </c>
      <c r="D7" s="4">
        <v>6</v>
      </c>
      <c r="E7" s="4">
        <v>2</v>
      </c>
      <c r="F7" s="4">
        <v>1</v>
      </c>
      <c r="G7" s="4">
        <v>2</v>
      </c>
      <c r="H7" s="4">
        <v>3.6</v>
      </c>
      <c r="I7" s="4">
        <v>1.6</v>
      </c>
      <c r="J7" s="4">
        <v>1.5</v>
      </c>
      <c r="K7" s="4">
        <v>2.6</v>
      </c>
    </row>
    <row r="9" spans="1:11" x14ac:dyDescent="0.25">
      <c r="A9" s="5" t="s">
        <v>62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zoomScaleNormal="100" workbookViewId="0"/>
  </sheetViews>
  <sheetFormatPr defaultColWidth="8.7109375" defaultRowHeight="15" x14ac:dyDescent="0.25"/>
  <cols>
    <col min="1" max="1" width="6" customWidth="1"/>
    <col min="2" max="2" width="18" customWidth="1"/>
    <col min="3" max="3" width="12" customWidth="1"/>
    <col min="4" max="4" width="10" customWidth="1"/>
    <col min="5" max="5" width="16" customWidth="1"/>
  </cols>
  <sheetData>
    <row r="1" spans="1:5" ht="16.5" x14ac:dyDescent="0.25">
      <c r="A1" s="1" t="s">
        <v>63</v>
      </c>
    </row>
    <row r="3" spans="1:5" x14ac:dyDescent="0.25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</row>
    <row r="4" spans="1:5" x14ac:dyDescent="0.25">
      <c r="A4" s="4">
        <v>1</v>
      </c>
      <c r="B4" s="4" t="s">
        <v>69</v>
      </c>
      <c r="C4" s="4">
        <v>0</v>
      </c>
      <c r="D4" s="4"/>
      <c r="E4" s="4" t="s">
        <v>70</v>
      </c>
    </row>
    <row r="5" spans="1:5" x14ac:dyDescent="0.25">
      <c r="A5" s="4">
        <v>2</v>
      </c>
      <c r="B5" s="4" t="s">
        <v>54</v>
      </c>
      <c r="C5" s="4">
        <v>100</v>
      </c>
      <c r="D5" s="4"/>
      <c r="E5" s="4" t="s">
        <v>71</v>
      </c>
    </row>
    <row r="6" spans="1:5" x14ac:dyDescent="0.25">
      <c r="A6" s="4">
        <v>3</v>
      </c>
      <c r="B6" s="4" t="s">
        <v>54</v>
      </c>
      <c r="C6" s="4">
        <v>90</v>
      </c>
      <c r="D6" s="4" t="s">
        <v>72</v>
      </c>
      <c r="E6" s="4"/>
    </row>
    <row r="7" spans="1:5" x14ac:dyDescent="0.25">
      <c r="A7" s="4">
        <v>4</v>
      </c>
      <c r="B7" s="4" t="s">
        <v>54</v>
      </c>
      <c r="C7" s="4">
        <v>120</v>
      </c>
      <c r="D7" s="4" t="s">
        <v>73</v>
      </c>
      <c r="E7" s="4"/>
    </row>
    <row r="8" spans="1:5" x14ac:dyDescent="0.25">
      <c r="A8" s="4">
        <v>5</v>
      </c>
      <c r="B8" s="4" t="s">
        <v>54</v>
      </c>
      <c r="C8" s="4">
        <v>60</v>
      </c>
      <c r="D8" s="4"/>
      <c r="E8" s="4"/>
    </row>
    <row r="9" spans="1:5" x14ac:dyDescent="0.25">
      <c r="A9" s="4">
        <v>6</v>
      </c>
      <c r="B9" s="4" t="s">
        <v>60</v>
      </c>
      <c r="C9" s="4">
        <v>60</v>
      </c>
      <c r="D9" s="4"/>
      <c r="E9" s="4" t="s">
        <v>71</v>
      </c>
    </row>
    <row r="10" spans="1:5" x14ac:dyDescent="0.25">
      <c r="A10" s="4">
        <v>7</v>
      </c>
      <c r="B10" s="4" t="s">
        <v>60</v>
      </c>
      <c r="C10" s="4">
        <v>200</v>
      </c>
      <c r="D10" s="4" t="s">
        <v>72</v>
      </c>
      <c r="E10" s="4"/>
    </row>
    <row r="11" spans="1:5" x14ac:dyDescent="0.25">
      <c r="A11" s="4">
        <v>8</v>
      </c>
      <c r="B11" s="4" t="s">
        <v>60</v>
      </c>
      <c r="C11" s="4">
        <v>200</v>
      </c>
      <c r="D11" s="4" t="s">
        <v>73</v>
      </c>
      <c r="E11" s="4"/>
    </row>
    <row r="12" spans="1:5" x14ac:dyDescent="0.25">
      <c r="A12" s="4">
        <v>9</v>
      </c>
      <c r="B12" s="4" t="s">
        <v>60</v>
      </c>
      <c r="C12" s="4">
        <v>60</v>
      </c>
      <c r="D12" s="4"/>
      <c r="E12" s="4"/>
    </row>
    <row r="13" spans="1:5" x14ac:dyDescent="0.25">
      <c r="A13" s="4">
        <v>10</v>
      </c>
      <c r="B13" s="4" t="s">
        <v>58</v>
      </c>
      <c r="C13" s="4">
        <v>60</v>
      </c>
      <c r="D13" s="4" t="s">
        <v>73</v>
      </c>
      <c r="E13" s="4" t="s">
        <v>71</v>
      </c>
    </row>
    <row r="14" spans="1:5" x14ac:dyDescent="0.25">
      <c r="A14" s="4">
        <v>11</v>
      </c>
      <c r="B14" s="4" t="s">
        <v>58</v>
      </c>
      <c r="C14" s="4">
        <v>45</v>
      </c>
      <c r="D14" s="4" t="s">
        <v>72</v>
      </c>
      <c r="E14" s="4"/>
    </row>
    <row r="15" spans="1:5" x14ac:dyDescent="0.25">
      <c r="A15" s="4">
        <v>12</v>
      </c>
      <c r="B15" s="4" t="s">
        <v>58</v>
      </c>
      <c r="C15" s="4">
        <v>60</v>
      </c>
      <c r="D15" s="4" t="s">
        <v>74</v>
      </c>
      <c r="E15" s="4"/>
    </row>
    <row r="16" spans="1:5" x14ac:dyDescent="0.25">
      <c r="A16" s="4">
        <v>13</v>
      </c>
      <c r="B16" s="4" t="s">
        <v>58</v>
      </c>
      <c r="C16" s="4">
        <v>60</v>
      </c>
      <c r="D16" s="4"/>
      <c r="E16" s="4"/>
    </row>
    <row r="17" spans="1:5" x14ac:dyDescent="0.25">
      <c r="A17" s="4">
        <v>14</v>
      </c>
      <c r="B17" s="4" t="s">
        <v>56</v>
      </c>
      <c r="C17" s="4">
        <v>120</v>
      </c>
      <c r="D17" s="4" t="s">
        <v>73</v>
      </c>
      <c r="E17" s="4" t="s">
        <v>71</v>
      </c>
    </row>
    <row r="18" spans="1:5" x14ac:dyDescent="0.25">
      <c r="A18" s="4">
        <v>15</v>
      </c>
      <c r="B18" s="4" t="s">
        <v>56</v>
      </c>
      <c r="C18" s="4">
        <v>60</v>
      </c>
      <c r="D18" s="4"/>
      <c r="E18" s="4"/>
    </row>
    <row r="19" spans="1:5" x14ac:dyDescent="0.25">
      <c r="A19" s="4">
        <v>16</v>
      </c>
      <c r="B19" s="4" t="s">
        <v>56</v>
      </c>
      <c r="C19" s="4">
        <v>60</v>
      </c>
      <c r="D19" s="4" t="s">
        <v>72</v>
      </c>
      <c r="E19" s="4"/>
    </row>
    <row r="20" spans="1:5" x14ac:dyDescent="0.25">
      <c r="A20" s="4">
        <v>17</v>
      </c>
      <c r="B20" s="4" t="s">
        <v>56</v>
      </c>
      <c r="C20" s="4">
        <v>60</v>
      </c>
      <c r="D20" s="4" t="s">
        <v>74</v>
      </c>
      <c r="E20" s="4"/>
    </row>
    <row r="21" spans="1:5" x14ac:dyDescent="0.25">
      <c r="A21" s="4">
        <v>18</v>
      </c>
      <c r="B21" s="4" t="s">
        <v>56</v>
      </c>
      <c r="C21" s="4">
        <v>90</v>
      </c>
      <c r="D21" s="4"/>
      <c r="E21" s="4"/>
    </row>
    <row r="22" spans="1:5" x14ac:dyDescent="0.25">
      <c r="A22" s="4">
        <v>19</v>
      </c>
      <c r="B22" s="4" t="s">
        <v>54</v>
      </c>
      <c r="C22" s="4">
        <v>90</v>
      </c>
      <c r="D22" s="4"/>
      <c r="E22" s="4"/>
    </row>
    <row r="23" spans="1:5" x14ac:dyDescent="0.25">
      <c r="A23" s="4">
        <v>20</v>
      </c>
      <c r="B23" s="4" t="s">
        <v>54</v>
      </c>
      <c r="C23" s="4">
        <v>90</v>
      </c>
      <c r="D23" s="4"/>
      <c r="E23" s="4"/>
    </row>
    <row r="24" spans="1:5" x14ac:dyDescent="0.25">
      <c r="A24" s="4">
        <v>21</v>
      </c>
      <c r="B24" s="4" t="s">
        <v>54</v>
      </c>
      <c r="C24" s="4">
        <v>90</v>
      </c>
      <c r="D24" s="4" t="s">
        <v>74</v>
      </c>
      <c r="E24" s="4"/>
    </row>
    <row r="25" spans="1:5" x14ac:dyDescent="0.25">
      <c r="A25" s="4">
        <v>22</v>
      </c>
      <c r="B25" s="4" t="s">
        <v>54</v>
      </c>
      <c r="C25" s="4">
        <v>90</v>
      </c>
      <c r="D25" s="4"/>
      <c r="E25" s="4"/>
    </row>
    <row r="26" spans="1:5" x14ac:dyDescent="0.25">
      <c r="A26" s="4">
        <v>23</v>
      </c>
      <c r="B26" s="4" t="s">
        <v>56</v>
      </c>
      <c r="C26" s="4">
        <v>90</v>
      </c>
      <c r="D26" s="4" t="s">
        <v>73</v>
      </c>
      <c r="E26" s="4"/>
    </row>
    <row r="27" spans="1:5" x14ac:dyDescent="0.25">
      <c r="A27" s="4">
        <v>24</v>
      </c>
      <c r="B27" s="4" t="s">
        <v>56</v>
      </c>
      <c r="C27" s="4">
        <v>420</v>
      </c>
      <c r="D27" s="4" t="s">
        <v>72</v>
      </c>
      <c r="E27" s="4"/>
    </row>
    <row r="28" spans="1:5" x14ac:dyDescent="0.25">
      <c r="A28" s="4">
        <v>25</v>
      </c>
      <c r="B28" s="4" t="s">
        <v>56</v>
      </c>
      <c r="C28" s="4">
        <v>420</v>
      </c>
      <c r="D28" s="4"/>
      <c r="E28" s="4"/>
    </row>
    <row r="29" spans="1:5" x14ac:dyDescent="0.25">
      <c r="A29" s="4">
        <v>26</v>
      </c>
      <c r="B29" s="4" t="s">
        <v>60</v>
      </c>
      <c r="C29" s="4">
        <v>60</v>
      </c>
      <c r="D29" s="4"/>
      <c r="E29" s="4"/>
    </row>
    <row r="30" spans="1:5" x14ac:dyDescent="0.25">
      <c r="A30" s="4">
        <v>27</v>
      </c>
      <c r="B30" s="4" t="s">
        <v>60</v>
      </c>
      <c r="C30" s="4">
        <v>60</v>
      </c>
      <c r="D30" s="4"/>
      <c r="E30" s="4"/>
    </row>
    <row r="31" spans="1:5" x14ac:dyDescent="0.25">
      <c r="A31" s="4">
        <v>28</v>
      </c>
      <c r="B31" s="4" t="s">
        <v>60</v>
      </c>
      <c r="C31" s="4">
        <v>60</v>
      </c>
      <c r="D31" s="4" t="s">
        <v>72</v>
      </c>
      <c r="E31" s="4"/>
    </row>
    <row r="32" spans="1:5" x14ac:dyDescent="0.25">
      <c r="A32" s="4">
        <v>29</v>
      </c>
      <c r="B32" s="4" t="s">
        <v>60</v>
      </c>
      <c r="C32" s="4">
        <v>120</v>
      </c>
      <c r="D32" s="4"/>
      <c r="E32" s="4"/>
    </row>
    <row r="33" spans="1:5" x14ac:dyDescent="0.25">
      <c r="A33" s="4">
        <v>30</v>
      </c>
      <c r="B33" s="4" t="s">
        <v>60</v>
      </c>
      <c r="C33" s="4">
        <v>200</v>
      </c>
      <c r="D33" s="4" t="s">
        <v>73</v>
      </c>
      <c r="E33" s="4"/>
    </row>
    <row r="34" spans="1:5" x14ac:dyDescent="0.25">
      <c r="A34" s="4">
        <v>31</v>
      </c>
      <c r="B34" s="4" t="s">
        <v>60</v>
      </c>
      <c r="C34" s="4">
        <v>150</v>
      </c>
      <c r="D34" s="4" t="s">
        <v>74</v>
      </c>
      <c r="E34" s="4"/>
    </row>
    <row r="35" spans="1:5" x14ac:dyDescent="0.25">
      <c r="A35" s="4">
        <v>32</v>
      </c>
      <c r="B35" s="4" t="s">
        <v>60</v>
      </c>
      <c r="C35" s="4">
        <v>210</v>
      </c>
      <c r="D35" s="4"/>
      <c r="E35" s="4"/>
    </row>
    <row r="36" spans="1:5" x14ac:dyDescent="0.25">
      <c r="A36" s="4">
        <v>33</v>
      </c>
      <c r="B36" s="4" t="s">
        <v>60</v>
      </c>
      <c r="C36" s="4">
        <v>60</v>
      </c>
      <c r="D36" s="4"/>
      <c r="E36" s="4"/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zoomScaleNormal="100" workbookViewId="0"/>
  </sheetViews>
  <sheetFormatPr defaultColWidth="8.7109375" defaultRowHeight="15" x14ac:dyDescent="0.25"/>
  <cols>
    <col min="1" max="1" width="7" customWidth="1"/>
    <col min="2" max="2" width="6" customWidth="1"/>
    <col min="3" max="4" width="10" customWidth="1"/>
    <col min="5" max="6" width="12" customWidth="1"/>
    <col min="7" max="7" width="20" customWidth="1"/>
    <col min="8" max="8" width="8" customWidth="1"/>
  </cols>
  <sheetData>
    <row r="1" spans="1:8" ht="16.5" x14ac:dyDescent="0.25">
      <c r="A1" s="1" t="s">
        <v>75</v>
      </c>
    </row>
    <row r="2" spans="1:8" x14ac:dyDescent="0.25">
      <c r="A2" s="6" t="s">
        <v>76</v>
      </c>
      <c r="B2" s="7">
        <f>12.66^2/10</f>
        <v>16.027560000000001</v>
      </c>
    </row>
    <row r="4" spans="1:8" x14ac:dyDescent="0.25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</row>
    <row r="5" spans="1:8" x14ac:dyDescent="0.25">
      <c r="A5" s="8">
        <v>1</v>
      </c>
      <c r="B5" s="8">
        <v>2</v>
      </c>
      <c r="C5" s="8">
        <v>9.2200000000000004E-2</v>
      </c>
      <c r="D5" s="8">
        <v>4.7E-2</v>
      </c>
      <c r="E5" s="8">
        <f t="shared" ref="E5:E36" si="0">C5/$B$2</f>
        <v>5.7525911617239307E-3</v>
      </c>
      <c r="F5" s="8">
        <f t="shared" ref="F5:F36" si="1">D5/$B$2</f>
        <v>2.932448856844086E-3</v>
      </c>
      <c r="G5" s="8" t="s">
        <v>85</v>
      </c>
      <c r="H5" s="8"/>
    </row>
    <row r="6" spans="1:8" x14ac:dyDescent="0.25">
      <c r="A6" s="8">
        <v>2</v>
      </c>
      <c r="B6" s="8">
        <v>3</v>
      </c>
      <c r="C6" s="8">
        <v>0.49299999999999999</v>
      </c>
      <c r="D6" s="8">
        <v>0.25109999999999999</v>
      </c>
      <c r="E6" s="8">
        <f t="shared" si="0"/>
        <v>3.0759516732428389E-2</v>
      </c>
      <c r="F6" s="8">
        <f t="shared" si="1"/>
        <v>1.56667639990117E-2</v>
      </c>
      <c r="G6" s="8" t="s">
        <v>86</v>
      </c>
      <c r="H6" s="8"/>
    </row>
    <row r="7" spans="1:8" x14ac:dyDescent="0.25">
      <c r="A7" s="8">
        <v>3</v>
      </c>
      <c r="B7" s="8">
        <v>4</v>
      </c>
      <c r="C7" s="8">
        <v>0.36599999999999999</v>
      </c>
      <c r="D7" s="8">
        <v>0.18640000000000001</v>
      </c>
      <c r="E7" s="8">
        <f t="shared" si="0"/>
        <v>2.2835665566062455E-2</v>
      </c>
      <c r="F7" s="8">
        <f t="shared" si="1"/>
        <v>1.1629967381185907E-2</v>
      </c>
      <c r="G7" s="8" t="s">
        <v>86</v>
      </c>
      <c r="H7" s="8"/>
    </row>
    <row r="8" spans="1:8" x14ac:dyDescent="0.25">
      <c r="A8" s="8">
        <v>4</v>
      </c>
      <c r="B8" s="8">
        <v>5</v>
      </c>
      <c r="C8" s="8">
        <v>0.38109999999999999</v>
      </c>
      <c r="D8" s="8">
        <v>0.19409999999999999</v>
      </c>
      <c r="E8" s="8">
        <f t="shared" si="0"/>
        <v>2.3777792751984703E-2</v>
      </c>
      <c r="F8" s="8">
        <f t="shared" si="1"/>
        <v>1.2110389853477383E-2</v>
      </c>
      <c r="G8" s="8" t="s">
        <v>86</v>
      </c>
      <c r="H8" s="8"/>
    </row>
    <row r="9" spans="1:8" x14ac:dyDescent="0.25">
      <c r="A9" s="8">
        <v>5</v>
      </c>
      <c r="B9" s="8">
        <v>6</v>
      </c>
      <c r="C9" s="8">
        <v>0.81899999999999995</v>
      </c>
      <c r="D9" s="8">
        <v>0.70699999999999996</v>
      </c>
      <c r="E9" s="8">
        <f t="shared" si="0"/>
        <v>5.1099481143729919E-2</v>
      </c>
      <c r="F9" s="8">
        <f t="shared" si="1"/>
        <v>4.4111517910399328E-2</v>
      </c>
      <c r="G9" s="8" t="s">
        <v>87</v>
      </c>
      <c r="H9" s="8" t="s">
        <v>88</v>
      </c>
    </row>
    <row r="10" spans="1:8" x14ac:dyDescent="0.25">
      <c r="A10" s="8">
        <v>6</v>
      </c>
      <c r="B10" s="8">
        <v>7</v>
      </c>
      <c r="C10" s="8">
        <v>0.18720000000000001</v>
      </c>
      <c r="D10" s="8">
        <v>0.61880000000000002</v>
      </c>
      <c r="E10" s="8">
        <f t="shared" si="0"/>
        <v>1.1679881404281126E-2</v>
      </c>
      <c r="F10" s="8">
        <f t="shared" si="1"/>
        <v>3.8608496864151499E-2</v>
      </c>
      <c r="G10" s="8" t="s">
        <v>89</v>
      </c>
      <c r="H10" s="8"/>
    </row>
    <row r="11" spans="1:8" x14ac:dyDescent="0.25">
      <c r="A11" s="8">
        <v>7</v>
      </c>
      <c r="B11" s="8">
        <v>8</v>
      </c>
      <c r="C11" s="8">
        <v>0.71140000000000003</v>
      </c>
      <c r="D11" s="8">
        <v>0.2351</v>
      </c>
      <c r="E11" s="8">
        <f t="shared" si="0"/>
        <v>4.4386045037423036E-2</v>
      </c>
      <c r="F11" s="8">
        <f t="shared" si="1"/>
        <v>1.4668483537107332E-2</v>
      </c>
      <c r="G11" s="8" t="s">
        <v>89</v>
      </c>
      <c r="H11" s="8"/>
    </row>
    <row r="12" spans="1:8" x14ac:dyDescent="0.25">
      <c r="A12" s="8">
        <v>8</v>
      </c>
      <c r="B12" s="8">
        <v>9</v>
      </c>
      <c r="C12" s="8">
        <v>1.03</v>
      </c>
      <c r="D12" s="8">
        <v>0.74</v>
      </c>
      <c r="E12" s="8">
        <f t="shared" si="0"/>
        <v>6.42643047350938E-2</v>
      </c>
      <c r="F12" s="8">
        <f t="shared" si="1"/>
        <v>4.6170471363077094E-2</v>
      </c>
      <c r="G12" s="8" t="s">
        <v>89</v>
      </c>
      <c r="H12" s="8"/>
    </row>
    <row r="13" spans="1:8" x14ac:dyDescent="0.25">
      <c r="A13" s="8">
        <v>9</v>
      </c>
      <c r="B13" s="8">
        <v>10</v>
      </c>
      <c r="C13" s="8">
        <v>1.044</v>
      </c>
      <c r="D13" s="8">
        <v>0.74</v>
      </c>
      <c r="E13" s="8">
        <f t="shared" si="0"/>
        <v>6.5137800139260127E-2</v>
      </c>
      <c r="F13" s="8">
        <f t="shared" si="1"/>
        <v>4.6170471363077094E-2</v>
      </c>
      <c r="G13" s="8" t="s">
        <v>90</v>
      </c>
      <c r="H13" s="8" t="s">
        <v>88</v>
      </c>
    </row>
    <row r="14" spans="1:8" x14ac:dyDescent="0.25">
      <c r="A14" s="8">
        <v>10</v>
      </c>
      <c r="B14" s="8">
        <v>11</v>
      </c>
      <c r="C14" s="8">
        <v>0.1966</v>
      </c>
      <c r="D14" s="8">
        <v>6.5000000000000002E-2</v>
      </c>
      <c r="E14" s="8">
        <f t="shared" si="0"/>
        <v>1.2266371175649942E-2</v>
      </c>
      <c r="F14" s="8">
        <f t="shared" si="1"/>
        <v>4.0555143764865022E-3</v>
      </c>
      <c r="G14" s="8" t="s">
        <v>91</v>
      </c>
      <c r="H14" s="8"/>
    </row>
    <row r="15" spans="1:8" x14ac:dyDescent="0.25">
      <c r="A15" s="8">
        <v>11</v>
      </c>
      <c r="B15" s="8">
        <v>12</v>
      </c>
      <c r="C15" s="8">
        <v>0.37440000000000001</v>
      </c>
      <c r="D15" s="8">
        <v>0.12379999999999999</v>
      </c>
      <c r="E15" s="8">
        <f t="shared" si="0"/>
        <v>2.3359762808562251E-2</v>
      </c>
      <c r="F15" s="8">
        <f t="shared" si="1"/>
        <v>7.7241950739850599E-3</v>
      </c>
      <c r="G15" s="8" t="s">
        <v>91</v>
      </c>
      <c r="H15" s="8"/>
    </row>
    <row r="16" spans="1:8" x14ac:dyDescent="0.25">
      <c r="A16" s="8">
        <v>12</v>
      </c>
      <c r="B16" s="8">
        <v>13</v>
      </c>
      <c r="C16" s="8">
        <v>1.468</v>
      </c>
      <c r="D16" s="8">
        <v>1.155</v>
      </c>
      <c r="E16" s="8">
        <f t="shared" si="0"/>
        <v>9.1592232379725913E-2</v>
      </c>
      <c r="F16" s="8">
        <f t="shared" si="1"/>
        <v>7.2063370843721691E-2</v>
      </c>
      <c r="G16" s="8" t="s">
        <v>91</v>
      </c>
      <c r="H16" s="8"/>
    </row>
    <row r="17" spans="1:8" x14ac:dyDescent="0.25">
      <c r="A17" s="8">
        <v>13</v>
      </c>
      <c r="B17" s="8">
        <v>14</v>
      </c>
      <c r="C17" s="8">
        <v>0.54159999999999997</v>
      </c>
      <c r="D17" s="8">
        <v>0.71289999999999998</v>
      </c>
      <c r="E17" s="8">
        <f t="shared" si="0"/>
        <v>3.3791793635462912E-2</v>
      </c>
      <c r="F17" s="8">
        <f t="shared" si="1"/>
        <v>4.4479633830726568E-2</v>
      </c>
      <c r="G17" s="8" t="s">
        <v>92</v>
      </c>
      <c r="H17" s="8" t="s">
        <v>88</v>
      </c>
    </row>
    <row r="18" spans="1:8" x14ac:dyDescent="0.25">
      <c r="A18" s="8">
        <v>14</v>
      </c>
      <c r="B18" s="8">
        <v>15</v>
      </c>
      <c r="C18" s="8">
        <v>0.59099999999999997</v>
      </c>
      <c r="D18" s="8">
        <v>0.52600000000000002</v>
      </c>
      <c r="E18" s="8">
        <f t="shared" si="0"/>
        <v>3.6873984561592653E-2</v>
      </c>
      <c r="F18" s="8">
        <f t="shared" si="1"/>
        <v>3.2818470185106155E-2</v>
      </c>
      <c r="G18" s="8" t="s">
        <v>93</v>
      </c>
      <c r="H18" s="8"/>
    </row>
    <row r="19" spans="1:8" x14ac:dyDescent="0.25">
      <c r="A19" s="8">
        <v>15</v>
      </c>
      <c r="B19" s="8">
        <v>16</v>
      </c>
      <c r="C19" s="8">
        <v>0.74629999999999996</v>
      </c>
      <c r="D19" s="8">
        <v>0.54500000000000004</v>
      </c>
      <c r="E19" s="8">
        <f t="shared" si="0"/>
        <v>4.6563544294951936E-2</v>
      </c>
      <c r="F19" s="8">
        <f t="shared" si="1"/>
        <v>3.4003928233617593E-2</v>
      </c>
      <c r="G19" s="8" t="s">
        <v>93</v>
      </c>
      <c r="H19" s="8"/>
    </row>
    <row r="20" spans="1:8" x14ac:dyDescent="0.25">
      <c r="A20" s="8">
        <v>16</v>
      </c>
      <c r="B20" s="8">
        <v>17</v>
      </c>
      <c r="C20" s="8">
        <v>1.2889999999999999</v>
      </c>
      <c r="D20" s="8">
        <v>1.7210000000000001</v>
      </c>
      <c r="E20" s="8">
        <f t="shared" si="0"/>
        <v>8.0423969712170779E-2</v>
      </c>
      <c r="F20" s="8">
        <f t="shared" si="1"/>
        <v>0.10737754218358876</v>
      </c>
      <c r="G20" s="8" t="s">
        <v>93</v>
      </c>
      <c r="H20" s="8"/>
    </row>
    <row r="21" spans="1:8" x14ac:dyDescent="0.25">
      <c r="A21" s="8">
        <v>17</v>
      </c>
      <c r="B21" s="8">
        <v>18</v>
      </c>
      <c r="C21" s="8">
        <v>0.73199999999999998</v>
      </c>
      <c r="D21" s="8">
        <v>0.57399999999999995</v>
      </c>
      <c r="E21" s="8">
        <f t="shared" si="0"/>
        <v>4.5671331132124911E-2</v>
      </c>
      <c r="F21" s="8">
        <f t="shared" si="1"/>
        <v>3.581331157081926E-2</v>
      </c>
      <c r="G21" s="8" t="s">
        <v>93</v>
      </c>
      <c r="H21" s="8"/>
    </row>
    <row r="22" spans="1:8" x14ac:dyDescent="0.25">
      <c r="A22" s="8">
        <v>2</v>
      </c>
      <c r="B22" s="8">
        <v>19</v>
      </c>
      <c r="C22" s="8">
        <v>0.16400000000000001</v>
      </c>
      <c r="D22" s="8">
        <v>0.1565</v>
      </c>
      <c r="E22" s="8">
        <f t="shared" si="0"/>
        <v>1.0232374734519789E-2</v>
      </c>
      <c r="F22" s="8">
        <f t="shared" si="1"/>
        <v>9.7644307680021161E-3</v>
      </c>
      <c r="G22" s="8" t="s">
        <v>86</v>
      </c>
      <c r="H22" s="8"/>
    </row>
    <row r="23" spans="1:8" x14ac:dyDescent="0.25">
      <c r="A23" s="8">
        <v>19</v>
      </c>
      <c r="B23" s="8">
        <v>20</v>
      </c>
      <c r="C23" s="8">
        <v>1.5042</v>
      </c>
      <c r="D23" s="8">
        <v>1.3553999999999999</v>
      </c>
      <c r="E23" s="8">
        <f t="shared" si="0"/>
        <v>9.3850841924784545E-2</v>
      </c>
      <c r="F23" s="8">
        <f t="shared" si="1"/>
        <v>8.4566833629073912E-2</v>
      </c>
      <c r="G23" s="8" t="s">
        <v>86</v>
      </c>
      <c r="H23" s="8"/>
    </row>
    <row r="24" spans="1:8" x14ac:dyDescent="0.25">
      <c r="A24" s="8">
        <v>20</v>
      </c>
      <c r="B24" s="8">
        <v>21</v>
      </c>
      <c r="C24" s="8">
        <v>0.40949999999999998</v>
      </c>
      <c r="D24" s="8">
        <v>0.47839999999999999</v>
      </c>
      <c r="E24" s="8">
        <f t="shared" si="0"/>
        <v>2.554974057186496E-2</v>
      </c>
      <c r="F24" s="8">
        <f t="shared" si="1"/>
        <v>2.9848585810940652E-2</v>
      </c>
      <c r="G24" s="8" t="s">
        <v>86</v>
      </c>
      <c r="H24" s="8"/>
    </row>
    <row r="25" spans="1:8" x14ac:dyDescent="0.25">
      <c r="A25" s="8">
        <v>21</v>
      </c>
      <c r="B25" s="8">
        <v>22</v>
      </c>
      <c r="C25" s="8">
        <v>0.70889999999999997</v>
      </c>
      <c r="D25" s="8">
        <v>0.93730000000000002</v>
      </c>
      <c r="E25" s="8">
        <f t="shared" si="0"/>
        <v>4.4230063715250477E-2</v>
      </c>
      <c r="F25" s="8">
        <f t="shared" si="1"/>
        <v>5.8480517308935359E-2</v>
      </c>
      <c r="G25" s="8" t="s">
        <v>86</v>
      </c>
      <c r="H25" s="8"/>
    </row>
    <row r="26" spans="1:8" x14ac:dyDescent="0.25">
      <c r="A26" s="8">
        <v>3</v>
      </c>
      <c r="B26" s="8">
        <v>23</v>
      </c>
      <c r="C26" s="8">
        <v>0.45119999999999999</v>
      </c>
      <c r="D26" s="8">
        <v>0.30830000000000002</v>
      </c>
      <c r="E26" s="8">
        <f t="shared" si="0"/>
        <v>2.8151509025703222E-2</v>
      </c>
      <c r="F26" s="8">
        <f t="shared" si="1"/>
        <v>1.9235616650319823E-2</v>
      </c>
      <c r="G26" s="8" t="s">
        <v>94</v>
      </c>
      <c r="H26" s="8" t="s">
        <v>88</v>
      </c>
    </row>
    <row r="27" spans="1:8" x14ac:dyDescent="0.25">
      <c r="A27" s="8">
        <v>23</v>
      </c>
      <c r="B27" s="8">
        <v>24</v>
      </c>
      <c r="C27" s="8">
        <v>0.89800000000000002</v>
      </c>
      <c r="D27" s="8">
        <v>0.70909999999999995</v>
      </c>
      <c r="E27" s="8">
        <f t="shared" si="0"/>
        <v>5.6028490924382751E-2</v>
      </c>
      <c r="F27" s="8">
        <f t="shared" si="1"/>
        <v>4.4242542221024278E-2</v>
      </c>
      <c r="G27" s="8" t="s">
        <v>93</v>
      </c>
      <c r="H27" s="8"/>
    </row>
    <row r="28" spans="1:8" x14ac:dyDescent="0.25">
      <c r="A28" s="8">
        <v>24</v>
      </c>
      <c r="B28" s="8">
        <v>25</v>
      </c>
      <c r="C28" s="8">
        <v>0.89600000000000002</v>
      </c>
      <c r="D28" s="8">
        <v>0.70109999999999995</v>
      </c>
      <c r="E28" s="8">
        <f t="shared" si="0"/>
        <v>5.5903705866644698E-2</v>
      </c>
      <c r="F28" s="8">
        <f t="shared" si="1"/>
        <v>4.3743401990072095E-2</v>
      </c>
      <c r="G28" s="8" t="s">
        <v>93</v>
      </c>
      <c r="H28" s="8"/>
    </row>
    <row r="29" spans="1:8" x14ac:dyDescent="0.25">
      <c r="A29" s="8">
        <v>6</v>
      </c>
      <c r="B29" s="8">
        <v>26</v>
      </c>
      <c r="C29" s="8">
        <v>0.20300000000000001</v>
      </c>
      <c r="D29" s="8">
        <v>0.10340000000000001</v>
      </c>
      <c r="E29" s="8">
        <f t="shared" si="0"/>
        <v>1.2665683360411691E-2</v>
      </c>
      <c r="F29" s="8">
        <f t="shared" si="1"/>
        <v>6.4513874850569896E-3</v>
      </c>
      <c r="G29" s="8" t="s">
        <v>89</v>
      </c>
      <c r="H29" s="8"/>
    </row>
    <row r="30" spans="1:8" x14ac:dyDescent="0.25">
      <c r="A30" s="8">
        <v>26</v>
      </c>
      <c r="B30" s="8">
        <v>27</v>
      </c>
      <c r="C30" s="8">
        <v>0.28420000000000001</v>
      </c>
      <c r="D30" s="8">
        <v>0.1447</v>
      </c>
      <c r="E30" s="8">
        <f t="shared" si="0"/>
        <v>1.7731956704576366E-2</v>
      </c>
      <c r="F30" s="8">
        <f t="shared" si="1"/>
        <v>9.0281989273476426E-3</v>
      </c>
      <c r="G30" s="8" t="s">
        <v>89</v>
      </c>
      <c r="H30" s="8"/>
    </row>
    <row r="31" spans="1:8" x14ac:dyDescent="0.25">
      <c r="A31" s="8">
        <v>27</v>
      </c>
      <c r="B31" s="8">
        <v>28</v>
      </c>
      <c r="C31" s="8">
        <v>1.0589999999999999</v>
      </c>
      <c r="D31" s="8">
        <v>0.93369999999999997</v>
      </c>
      <c r="E31" s="8">
        <f t="shared" si="0"/>
        <v>6.6073688072295467E-2</v>
      </c>
      <c r="F31" s="8">
        <f t="shared" si="1"/>
        <v>5.825590420500687E-2</v>
      </c>
      <c r="G31" s="8" t="s">
        <v>89</v>
      </c>
      <c r="H31" s="8"/>
    </row>
    <row r="32" spans="1:8" x14ac:dyDescent="0.25">
      <c r="A32" s="8">
        <v>28</v>
      </c>
      <c r="B32" s="8">
        <v>29</v>
      </c>
      <c r="C32" s="8">
        <v>0.80420000000000003</v>
      </c>
      <c r="D32" s="8">
        <v>0.7006</v>
      </c>
      <c r="E32" s="8">
        <f t="shared" si="0"/>
        <v>5.017607171646838E-2</v>
      </c>
      <c r="F32" s="8">
        <f t="shared" si="1"/>
        <v>4.3712205725637589E-2</v>
      </c>
      <c r="G32" s="8" t="s">
        <v>89</v>
      </c>
      <c r="H32" s="8"/>
    </row>
    <row r="33" spans="1:8" x14ac:dyDescent="0.25">
      <c r="A33" s="8">
        <v>29</v>
      </c>
      <c r="B33" s="8">
        <v>30</v>
      </c>
      <c r="C33" s="8">
        <v>0.50749999999999995</v>
      </c>
      <c r="D33" s="8">
        <v>0.25850000000000001</v>
      </c>
      <c r="E33" s="8">
        <f t="shared" si="0"/>
        <v>3.1664208401029223E-2</v>
      </c>
      <c r="F33" s="8">
        <f t="shared" si="1"/>
        <v>1.6128468712642473E-2</v>
      </c>
      <c r="G33" s="8" t="s">
        <v>89</v>
      </c>
      <c r="H33" s="8"/>
    </row>
    <row r="34" spans="1:8" x14ac:dyDescent="0.25">
      <c r="A34" s="8">
        <v>30</v>
      </c>
      <c r="B34" s="8">
        <v>31</v>
      </c>
      <c r="C34" s="8">
        <v>0.97440000000000004</v>
      </c>
      <c r="D34" s="8">
        <v>0.96299999999999997</v>
      </c>
      <c r="E34" s="8">
        <f t="shared" si="0"/>
        <v>6.0795280129976113E-2</v>
      </c>
      <c r="F34" s="8">
        <f t="shared" si="1"/>
        <v>6.0084005300869249E-2</v>
      </c>
      <c r="G34" s="8" t="s">
        <v>89</v>
      </c>
      <c r="H34" s="8"/>
    </row>
    <row r="35" spans="1:8" x14ac:dyDescent="0.25">
      <c r="A35" s="8">
        <v>31</v>
      </c>
      <c r="B35" s="8">
        <v>32</v>
      </c>
      <c r="C35" s="8">
        <v>0.3105</v>
      </c>
      <c r="D35" s="8">
        <v>0.3619</v>
      </c>
      <c r="E35" s="8">
        <f t="shared" si="0"/>
        <v>1.9372880213831673E-2</v>
      </c>
      <c r="F35" s="8">
        <f t="shared" si="1"/>
        <v>2.257985619769946E-2</v>
      </c>
      <c r="G35" s="8" t="s">
        <v>89</v>
      </c>
      <c r="H35" s="8"/>
    </row>
    <row r="36" spans="1:8" x14ac:dyDescent="0.25">
      <c r="A36" s="8">
        <v>32</v>
      </c>
      <c r="B36" s="8">
        <v>33</v>
      </c>
      <c r="C36" s="8">
        <v>0.34100000000000003</v>
      </c>
      <c r="D36" s="8">
        <v>0.5302</v>
      </c>
      <c r="E36" s="8">
        <f t="shared" si="0"/>
        <v>2.127585234433688E-2</v>
      </c>
      <c r="F36" s="8">
        <f t="shared" si="1"/>
        <v>3.3080518806356048E-2</v>
      </c>
      <c r="G36" s="8" t="s">
        <v>89</v>
      </c>
      <c r="H36" s="8"/>
    </row>
    <row r="37" spans="1:8" x14ac:dyDescent="0.25">
      <c r="A37" s="8">
        <v>1</v>
      </c>
      <c r="B37" s="8">
        <v>18</v>
      </c>
      <c r="C37" s="8" t="s">
        <v>95</v>
      </c>
      <c r="D37" s="8" t="s">
        <v>95</v>
      </c>
      <c r="E37" s="8"/>
      <c r="F37" s="8"/>
      <c r="G37" s="8" t="s">
        <v>96</v>
      </c>
      <c r="H37" s="8" t="s">
        <v>88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zoomScaleNormal="100" workbookViewId="0"/>
  </sheetViews>
  <sheetFormatPr defaultColWidth="8.7109375" defaultRowHeight="15" x14ac:dyDescent="0.25"/>
  <cols>
    <col min="1" max="1" width="8" customWidth="1"/>
    <col min="2" max="2" width="24" customWidth="1"/>
    <col min="3" max="4" width="6" customWidth="1"/>
    <col min="5" max="5" width="11" customWidth="1"/>
    <col min="6" max="6" width="30" customWidth="1"/>
  </cols>
  <sheetData>
    <row r="1" spans="1:6" ht="16.5" x14ac:dyDescent="0.25">
      <c r="A1" s="1" t="s">
        <v>97</v>
      </c>
    </row>
    <row r="3" spans="1:6" ht="30" x14ac:dyDescent="0.25">
      <c r="A3" s="3" t="s">
        <v>98</v>
      </c>
      <c r="B3" s="3" t="s">
        <v>99</v>
      </c>
      <c r="C3" s="3" t="s">
        <v>43</v>
      </c>
      <c r="D3" s="3" t="s">
        <v>64</v>
      </c>
      <c r="E3" s="3" t="s">
        <v>100</v>
      </c>
      <c r="F3" s="3" t="s">
        <v>101</v>
      </c>
    </row>
    <row r="4" spans="1:6" x14ac:dyDescent="0.25">
      <c r="A4" s="4" t="s">
        <v>102</v>
      </c>
      <c r="B4" s="4" t="s">
        <v>103</v>
      </c>
      <c r="C4" s="4" t="s">
        <v>54</v>
      </c>
      <c r="D4" s="4">
        <v>3</v>
      </c>
      <c r="E4" s="4">
        <v>3.5</v>
      </c>
      <c r="F4" s="4" t="s">
        <v>104</v>
      </c>
    </row>
    <row r="5" spans="1:6" x14ac:dyDescent="0.25">
      <c r="A5" s="4" t="s">
        <v>105</v>
      </c>
      <c r="B5" s="4" t="s">
        <v>106</v>
      </c>
      <c r="C5" s="4" t="s">
        <v>54</v>
      </c>
      <c r="D5" s="4">
        <v>21</v>
      </c>
      <c r="E5" s="4">
        <v>1.8</v>
      </c>
      <c r="F5" s="4" t="s">
        <v>107</v>
      </c>
    </row>
    <row r="6" spans="1:6" x14ac:dyDescent="0.25">
      <c r="A6" s="4" t="s">
        <v>108</v>
      </c>
      <c r="B6" s="4" t="s">
        <v>109</v>
      </c>
      <c r="C6" s="4" t="s">
        <v>54</v>
      </c>
      <c r="D6" s="4">
        <v>4</v>
      </c>
      <c r="E6" s="4">
        <v>1.2</v>
      </c>
      <c r="F6" s="4" t="s">
        <v>110</v>
      </c>
    </row>
    <row r="7" spans="1:6" x14ac:dyDescent="0.25">
      <c r="A7" s="4" t="s">
        <v>111</v>
      </c>
      <c r="B7" s="4" t="s">
        <v>103</v>
      </c>
      <c r="C7" s="4" t="s">
        <v>56</v>
      </c>
      <c r="D7" s="4">
        <v>16</v>
      </c>
      <c r="E7" s="4">
        <v>2.6</v>
      </c>
      <c r="F7" s="4" t="s">
        <v>104</v>
      </c>
    </row>
    <row r="8" spans="1:6" x14ac:dyDescent="0.25">
      <c r="A8" s="4" t="s">
        <v>112</v>
      </c>
      <c r="B8" s="4" t="s">
        <v>103</v>
      </c>
      <c r="C8" s="4" t="s">
        <v>56</v>
      </c>
      <c r="D8" s="4">
        <v>24</v>
      </c>
      <c r="E8" s="4">
        <v>2.4</v>
      </c>
      <c r="F8" s="4" t="s">
        <v>104</v>
      </c>
    </row>
    <row r="9" spans="1:6" x14ac:dyDescent="0.25">
      <c r="A9" s="4" t="s">
        <v>113</v>
      </c>
      <c r="B9" s="4" t="s">
        <v>106</v>
      </c>
      <c r="C9" s="4" t="s">
        <v>56</v>
      </c>
      <c r="D9" s="4">
        <v>17</v>
      </c>
      <c r="E9" s="4">
        <v>2.7</v>
      </c>
      <c r="F9" s="4" t="s">
        <v>107</v>
      </c>
    </row>
    <row r="10" spans="1:6" x14ac:dyDescent="0.25">
      <c r="A10" s="4" t="s">
        <v>114</v>
      </c>
      <c r="B10" s="4" t="s">
        <v>109</v>
      </c>
      <c r="C10" s="4" t="s">
        <v>56</v>
      </c>
      <c r="D10" s="4">
        <v>14</v>
      </c>
      <c r="E10" s="4">
        <v>0.8</v>
      </c>
      <c r="F10" s="4" t="s">
        <v>110</v>
      </c>
    </row>
    <row r="11" spans="1:6" x14ac:dyDescent="0.25">
      <c r="A11" s="4" t="s">
        <v>115</v>
      </c>
      <c r="B11" s="4" t="s">
        <v>109</v>
      </c>
      <c r="C11" s="4" t="s">
        <v>56</v>
      </c>
      <c r="D11" s="4">
        <v>23</v>
      </c>
      <c r="E11" s="4">
        <v>0.7</v>
      </c>
      <c r="F11" s="4" t="s">
        <v>110</v>
      </c>
    </row>
    <row r="12" spans="1:6" x14ac:dyDescent="0.25">
      <c r="A12" s="4" t="s">
        <v>116</v>
      </c>
      <c r="B12" s="4" t="s">
        <v>103</v>
      </c>
      <c r="C12" s="4" t="s">
        <v>58</v>
      </c>
      <c r="D12" s="4">
        <v>11</v>
      </c>
      <c r="E12" s="4">
        <v>3</v>
      </c>
      <c r="F12" s="4" t="s">
        <v>104</v>
      </c>
    </row>
    <row r="13" spans="1:6" x14ac:dyDescent="0.25">
      <c r="A13" s="4" t="s">
        <v>117</v>
      </c>
      <c r="B13" s="4" t="s">
        <v>106</v>
      </c>
      <c r="C13" s="4" t="s">
        <v>58</v>
      </c>
      <c r="D13" s="4">
        <v>12</v>
      </c>
      <c r="E13" s="4">
        <v>2</v>
      </c>
      <c r="F13" s="4" t="s">
        <v>107</v>
      </c>
    </row>
    <row r="14" spans="1:6" x14ac:dyDescent="0.25">
      <c r="A14" s="4" t="s">
        <v>118</v>
      </c>
      <c r="B14" s="4" t="s">
        <v>109</v>
      </c>
      <c r="C14" s="4" t="s">
        <v>58</v>
      </c>
      <c r="D14" s="4">
        <v>10</v>
      </c>
      <c r="E14" s="4">
        <v>1</v>
      </c>
      <c r="F14" s="4" t="s">
        <v>110</v>
      </c>
    </row>
    <row r="15" spans="1:6" x14ac:dyDescent="0.25">
      <c r="A15" s="4" t="s">
        <v>119</v>
      </c>
      <c r="B15" s="4" t="s">
        <v>103</v>
      </c>
      <c r="C15" s="4" t="s">
        <v>60</v>
      </c>
      <c r="D15" s="4">
        <v>7</v>
      </c>
      <c r="E15" s="4">
        <v>2</v>
      </c>
      <c r="F15" s="4" t="s">
        <v>104</v>
      </c>
    </row>
    <row r="16" spans="1:6" x14ac:dyDescent="0.25">
      <c r="A16" s="4" t="s">
        <v>120</v>
      </c>
      <c r="B16" s="4" t="s">
        <v>103</v>
      </c>
      <c r="C16" s="4" t="s">
        <v>60</v>
      </c>
      <c r="D16" s="4">
        <v>28</v>
      </c>
      <c r="E16" s="4">
        <v>1.6</v>
      </c>
      <c r="F16" s="4" t="s">
        <v>104</v>
      </c>
    </row>
    <row r="17" spans="1:6" x14ac:dyDescent="0.25">
      <c r="A17" s="4" t="s">
        <v>121</v>
      </c>
      <c r="B17" s="4" t="s">
        <v>106</v>
      </c>
      <c r="C17" s="4" t="s">
        <v>60</v>
      </c>
      <c r="D17" s="4">
        <v>31</v>
      </c>
      <c r="E17" s="4">
        <v>1.6</v>
      </c>
      <c r="F17" s="4" t="s">
        <v>107</v>
      </c>
    </row>
    <row r="18" spans="1:6" x14ac:dyDescent="0.25">
      <c r="A18" s="4" t="s">
        <v>122</v>
      </c>
      <c r="B18" s="4" t="s">
        <v>109</v>
      </c>
      <c r="C18" s="4" t="s">
        <v>60</v>
      </c>
      <c r="D18" s="4">
        <v>8</v>
      </c>
      <c r="E18" s="4">
        <v>0.8</v>
      </c>
      <c r="F18" s="4" t="s">
        <v>110</v>
      </c>
    </row>
    <row r="19" spans="1:6" x14ac:dyDescent="0.25">
      <c r="A19" s="4" t="s">
        <v>123</v>
      </c>
      <c r="B19" s="4" t="s">
        <v>109</v>
      </c>
      <c r="C19" s="4" t="s">
        <v>60</v>
      </c>
      <c r="D19" s="4">
        <v>30</v>
      </c>
      <c r="E19" s="4">
        <v>0.7</v>
      </c>
      <c r="F19" s="4" t="s">
        <v>110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zoomScaleNormal="100" workbookViewId="0"/>
  </sheetViews>
  <sheetFormatPr defaultColWidth="8.7109375" defaultRowHeight="15" x14ac:dyDescent="0.25"/>
  <cols>
    <col min="1" max="1" width="8" customWidth="1"/>
    <col min="2" max="2" width="5" customWidth="1"/>
    <col min="3" max="3" width="7" customWidth="1"/>
    <col min="4" max="5" width="8" customWidth="1"/>
    <col min="6" max="7" width="10" customWidth="1"/>
    <col min="8" max="9" width="7" customWidth="1"/>
    <col min="10" max="11" width="10" customWidth="1"/>
    <col min="12" max="12" width="8" customWidth="1"/>
    <col min="13" max="14" width="6" customWidth="1"/>
    <col min="15" max="15" width="10" customWidth="1"/>
  </cols>
  <sheetData>
    <row r="1" spans="1:15" ht="16.5" x14ac:dyDescent="0.25">
      <c r="A1" s="1" t="s">
        <v>124</v>
      </c>
    </row>
    <row r="3" spans="1:15" ht="30" x14ac:dyDescent="0.25">
      <c r="A3" s="3" t="s">
        <v>125</v>
      </c>
      <c r="B3" s="3" t="s">
        <v>43</v>
      </c>
      <c r="C3" s="3" t="s">
        <v>98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  <c r="M3" s="3" t="s">
        <v>135</v>
      </c>
      <c r="N3" s="3" t="s">
        <v>136</v>
      </c>
      <c r="O3" s="3" t="s">
        <v>137</v>
      </c>
    </row>
    <row r="4" spans="1:15" x14ac:dyDescent="0.25">
      <c r="A4" s="4" t="s">
        <v>138</v>
      </c>
      <c r="B4" s="4" t="s">
        <v>54</v>
      </c>
      <c r="C4" s="4" t="s">
        <v>102</v>
      </c>
      <c r="D4" s="4">
        <v>0.7</v>
      </c>
      <c r="E4" s="4">
        <v>3.5</v>
      </c>
      <c r="F4" s="4">
        <v>3.5</v>
      </c>
      <c r="G4" s="4">
        <v>3.5</v>
      </c>
      <c r="H4" s="4">
        <v>2</v>
      </c>
      <c r="I4" s="4">
        <v>2</v>
      </c>
      <c r="J4" s="4">
        <v>55</v>
      </c>
      <c r="K4" s="4">
        <v>40</v>
      </c>
      <c r="L4" s="4">
        <v>0.05</v>
      </c>
      <c r="M4" s="4">
        <v>8</v>
      </c>
      <c r="N4" s="4">
        <v>4</v>
      </c>
      <c r="O4" s="4">
        <v>1.75</v>
      </c>
    </row>
    <row r="5" spans="1:15" x14ac:dyDescent="0.25">
      <c r="A5" s="4" t="s">
        <v>138</v>
      </c>
      <c r="B5" s="4" t="s">
        <v>56</v>
      </c>
      <c r="C5" s="4" t="s">
        <v>111</v>
      </c>
      <c r="D5" s="4">
        <v>0.5</v>
      </c>
      <c r="E5" s="4">
        <v>2.6</v>
      </c>
      <c r="F5" s="4">
        <v>2.6</v>
      </c>
      <c r="G5" s="4">
        <v>2.6</v>
      </c>
      <c r="H5" s="4">
        <v>2</v>
      </c>
      <c r="I5" s="4">
        <v>2</v>
      </c>
      <c r="J5" s="4">
        <v>55</v>
      </c>
      <c r="K5" s="4">
        <v>40</v>
      </c>
      <c r="L5" s="4">
        <v>0.05</v>
      </c>
      <c r="M5" s="4">
        <v>8</v>
      </c>
      <c r="N5" s="4">
        <v>4</v>
      </c>
      <c r="O5" s="4">
        <v>1.3</v>
      </c>
    </row>
    <row r="6" spans="1:15" x14ac:dyDescent="0.25">
      <c r="A6" s="4" t="s">
        <v>138</v>
      </c>
      <c r="B6" s="4" t="s">
        <v>56</v>
      </c>
      <c r="C6" s="4" t="s">
        <v>112</v>
      </c>
      <c r="D6" s="4">
        <v>0.5</v>
      </c>
      <c r="E6" s="4">
        <v>2.4</v>
      </c>
      <c r="F6" s="4">
        <v>2.4</v>
      </c>
      <c r="G6" s="4">
        <v>2.4</v>
      </c>
      <c r="H6" s="4">
        <v>2</v>
      </c>
      <c r="I6" s="4">
        <v>2</v>
      </c>
      <c r="J6" s="4">
        <v>55</v>
      </c>
      <c r="K6" s="4">
        <v>40</v>
      </c>
      <c r="L6" s="4">
        <v>0.05</v>
      </c>
      <c r="M6" s="4">
        <v>8</v>
      </c>
      <c r="N6" s="4">
        <v>4</v>
      </c>
      <c r="O6" s="4">
        <v>1.2</v>
      </c>
    </row>
    <row r="7" spans="1:15" x14ac:dyDescent="0.25">
      <c r="A7" s="4" t="s">
        <v>138</v>
      </c>
      <c r="B7" s="4" t="s">
        <v>58</v>
      </c>
      <c r="C7" s="4" t="s">
        <v>116</v>
      </c>
      <c r="D7" s="4">
        <v>0.6</v>
      </c>
      <c r="E7" s="4">
        <v>3</v>
      </c>
      <c r="F7" s="4">
        <v>3</v>
      </c>
      <c r="G7" s="4">
        <v>3</v>
      </c>
      <c r="H7" s="4">
        <v>2</v>
      </c>
      <c r="I7" s="4">
        <v>2</v>
      </c>
      <c r="J7" s="4">
        <v>55</v>
      </c>
      <c r="K7" s="4">
        <v>40</v>
      </c>
      <c r="L7" s="4">
        <v>0.05</v>
      </c>
      <c r="M7" s="4">
        <v>8</v>
      </c>
      <c r="N7" s="4">
        <v>4</v>
      </c>
      <c r="O7" s="4">
        <v>1.5</v>
      </c>
    </row>
    <row r="8" spans="1:15" x14ac:dyDescent="0.25">
      <c r="A8" s="4" t="s">
        <v>138</v>
      </c>
      <c r="B8" s="4" t="s">
        <v>60</v>
      </c>
      <c r="C8" s="4" t="s">
        <v>119</v>
      </c>
      <c r="D8" s="4">
        <v>0.4</v>
      </c>
      <c r="E8" s="4">
        <v>2</v>
      </c>
      <c r="F8" s="4">
        <v>2</v>
      </c>
      <c r="G8" s="4">
        <v>2</v>
      </c>
      <c r="H8" s="4">
        <v>2</v>
      </c>
      <c r="I8" s="4">
        <v>2</v>
      </c>
      <c r="J8" s="4">
        <v>55</v>
      </c>
      <c r="K8" s="4">
        <v>40</v>
      </c>
      <c r="L8" s="4">
        <v>0.05</v>
      </c>
      <c r="M8" s="4">
        <v>8</v>
      </c>
      <c r="N8" s="4">
        <v>4</v>
      </c>
      <c r="O8" s="4">
        <v>1</v>
      </c>
    </row>
    <row r="9" spans="1:15" x14ac:dyDescent="0.25">
      <c r="A9" s="4" t="s">
        <v>138</v>
      </c>
      <c r="B9" s="4" t="s">
        <v>60</v>
      </c>
      <c r="C9" s="4" t="s">
        <v>120</v>
      </c>
      <c r="D9" s="4">
        <v>0.3</v>
      </c>
      <c r="E9" s="4">
        <v>1.6</v>
      </c>
      <c r="F9" s="4">
        <v>1.6</v>
      </c>
      <c r="G9" s="4">
        <v>1.6</v>
      </c>
      <c r="H9" s="4">
        <v>2</v>
      </c>
      <c r="I9" s="4">
        <v>2</v>
      </c>
      <c r="J9" s="4">
        <v>55</v>
      </c>
      <c r="K9" s="4">
        <v>40</v>
      </c>
      <c r="L9" s="4">
        <v>0.05</v>
      </c>
      <c r="M9" s="4">
        <v>8</v>
      </c>
      <c r="N9" s="4">
        <v>4</v>
      </c>
      <c r="O9" s="4">
        <v>0.8</v>
      </c>
    </row>
    <row r="10" spans="1:15" x14ac:dyDescent="0.25">
      <c r="A10" s="4" t="s">
        <v>139</v>
      </c>
      <c r="B10" s="4" t="s">
        <v>54</v>
      </c>
      <c r="C10" s="4" t="s">
        <v>140</v>
      </c>
      <c r="D10" s="4">
        <v>0.6</v>
      </c>
      <c r="E10" s="4">
        <v>3</v>
      </c>
      <c r="F10" s="4">
        <v>3</v>
      </c>
      <c r="G10" s="4">
        <v>3</v>
      </c>
      <c r="H10" s="4">
        <v>2</v>
      </c>
      <c r="I10" s="4">
        <v>2</v>
      </c>
      <c r="J10" s="4">
        <v>55</v>
      </c>
      <c r="K10" s="4">
        <v>40</v>
      </c>
      <c r="L10" s="4">
        <v>0.05</v>
      </c>
      <c r="M10" s="4">
        <v>8</v>
      </c>
      <c r="N10" s="4">
        <v>4</v>
      </c>
      <c r="O10" s="4">
        <v>1.5</v>
      </c>
    </row>
    <row r="11" spans="1:15" x14ac:dyDescent="0.25">
      <c r="A11" s="4" t="s">
        <v>139</v>
      </c>
      <c r="B11" s="4" t="s">
        <v>54</v>
      </c>
      <c r="C11" s="4" t="s">
        <v>141</v>
      </c>
      <c r="D11" s="4">
        <v>0.4</v>
      </c>
      <c r="E11" s="4">
        <v>2</v>
      </c>
      <c r="F11" s="4">
        <v>2</v>
      </c>
      <c r="G11" s="4">
        <v>2</v>
      </c>
      <c r="H11" s="4">
        <v>2</v>
      </c>
      <c r="I11" s="4">
        <v>2</v>
      </c>
      <c r="J11" s="4">
        <v>55</v>
      </c>
      <c r="K11" s="4">
        <v>40</v>
      </c>
      <c r="L11" s="4">
        <v>0.05</v>
      </c>
      <c r="M11" s="4">
        <v>8</v>
      </c>
      <c r="N11" s="4">
        <v>4</v>
      </c>
      <c r="O11" s="4">
        <v>1</v>
      </c>
    </row>
    <row r="12" spans="1:15" x14ac:dyDescent="0.25">
      <c r="A12" s="4" t="s">
        <v>139</v>
      </c>
      <c r="B12" s="4" t="s">
        <v>56</v>
      </c>
      <c r="C12" s="4" t="s">
        <v>111</v>
      </c>
      <c r="D12" s="4">
        <v>0.6</v>
      </c>
      <c r="E12" s="4">
        <v>3</v>
      </c>
      <c r="F12" s="4">
        <v>3</v>
      </c>
      <c r="G12" s="4">
        <v>3</v>
      </c>
      <c r="H12" s="4">
        <v>2</v>
      </c>
      <c r="I12" s="4">
        <v>2</v>
      </c>
      <c r="J12" s="4">
        <v>55</v>
      </c>
      <c r="K12" s="4">
        <v>40</v>
      </c>
      <c r="L12" s="4">
        <v>0.05</v>
      </c>
      <c r="M12" s="4">
        <v>8</v>
      </c>
      <c r="N12" s="4">
        <v>4</v>
      </c>
      <c r="O12" s="4">
        <v>1.5</v>
      </c>
    </row>
    <row r="13" spans="1:15" x14ac:dyDescent="0.25">
      <c r="A13" s="4" t="s">
        <v>139</v>
      </c>
      <c r="B13" s="4" t="s">
        <v>56</v>
      </c>
      <c r="C13" s="4" t="s">
        <v>112</v>
      </c>
      <c r="D13" s="4">
        <v>0.5</v>
      </c>
      <c r="E13" s="4">
        <v>2</v>
      </c>
      <c r="F13" s="4">
        <v>2</v>
      </c>
      <c r="G13" s="4">
        <v>2</v>
      </c>
      <c r="H13" s="4">
        <v>2</v>
      </c>
      <c r="I13" s="4">
        <v>2</v>
      </c>
      <c r="J13" s="4">
        <v>55</v>
      </c>
      <c r="K13" s="4">
        <v>40</v>
      </c>
      <c r="L13" s="4">
        <v>0.05</v>
      </c>
      <c r="M13" s="4">
        <v>8</v>
      </c>
      <c r="N13" s="4">
        <v>4</v>
      </c>
      <c r="O13" s="4">
        <v>1</v>
      </c>
    </row>
    <row r="14" spans="1:15" x14ac:dyDescent="0.25">
      <c r="A14" s="4" t="s">
        <v>139</v>
      </c>
      <c r="B14" s="4" t="s">
        <v>56</v>
      </c>
      <c r="C14" s="4" t="s">
        <v>142</v>
      </c>
      <c r="D14" s="4">
        <v>0.3</v>
      </c>
      <c r="E14" s="4">
        <v>1.5</v>
      </c>
      <c r="F14" s="4">
        <v>1.5</v>
      </c>
      <c r="G14" s="4">
        <v>1.5</v>
      </c>
      <c r="H14" s="4">
        <v>2</v>
      </c>
      <c r="I14" s="4">
        <v>2</v>
      </c>
      <c r="J14" s="4">
        <v>55</v>
      </c>
      <c r="K14" s="4">
        <v>40</v>
      </c>
      <c r="L14" s="4">
        <v>0.05</v>
      </c>
      <c r="M14" s="4">
        <v>8</v>
      </c>
      <c r="N14" s="4">
        <v>4</v>
      </c>
      <c r="O14" s="4">
        <v>0.75</v>
      </c>
    </row>
    <row r="15" spans="1:15" x14ac:dyDescent="0.25">
      <c r="A15" s="4" t="s">
        <v>139</v>
      </c>
      <c r="B15" s="4" t="s">
        <v>58</v>
      </c>
      <c r="C15" s="4" t="s">
        <v>143</v>
      </c>
      <c r="D15" s="4">
        <v>0.5</v>
      </c>
      <c r="E15" s="4">
        <v>2.5</v>
      </c>
      <c r="F15" s="4">
        <v>2.5</v>
      </c>
      <c r="G15" s="4">
        <v>2.5</v>
      </c>
      <c r="H15" s="4">
        <v>2</v>
      </c>
      <c r="I15" s="4">
        <v>2</v>
      </c>
      <c r="J15" s="4">
        <v>55</v>
      </c>
      <c r="K15" s="4">
        <v>40</v>
      </c>
      <c r="L15" s="4">
        <v>0.05</v>
      </c>
      <c r="M15" s="4">
        <v>8</v>
      </c>
      <c r="N15" s="4">
        <v>4</v>
      </c>
      <c r="O15" s="4">
        <v>1.25</v>
      </c>
    </row>
    <row r="16" spans="1:15" x14ac:dyDescent="0.25">
      <c r="A16" s="4" t="s">
        <v>139</v>
      </c>
      <c r="B16" s="4" t="s">
        <v>58</v>
      </c>
      <c r="C16" s="4" t="s">
        <v>144</v>
      </c>
      <c r="D16" s="4">
        <v>0.3</v>
      </c>
      <c r="E16" s="4">
        <v>1.5</v>
      </c>
      <c r="F16" s="4">
        <v>1.5</v>
      </c>
      <c r="G16" s="4">
        <v>1.5</v>
      </c>
      <c r="H16" s="4">
        <v>2</v>
      </c>
      <c r="I16" s="4">
        <v>2</v>
      </c>
      <c r="J16" s="4">
        <v>55</v>
      </c>
      <c r="K16" s="4">
        <v>40</v>
      </c>
      <c r="L16" s="4">
        <v>0.05</v>
      </c>
      <c r="M16" s="4">
        <v>8</v>
      </c>
      <c r="N16" s="4">
        <v>4</v>
      </c>
      <c r="O16" s="4">
        <v>0.75</v>
      </c>
    </row>
    <row r="17" spans="1:15" x14ac:dyDescent="0.25">
      <c r="A17" s="4" t="s">
        <v>139</v>
      </c>
      <c r="B17" s="4" t="s">
        <v>60</v>
      </c>
      <c r="C17" s="4" t="s">
        <v>119</v>
      </c>
      <c r="D17" s="4">
        <v>0.6</v>
      </c>
      <c r="E17" s="4">
        <v>3</v>
      </c>
      <c r="F17" s="4">
        <v>3</v>
      </c>
      <c r="G17" s="4">
        <v>3</v>
      </c>
      <c r="H17" s="4">
        <v>2</v>
      </c>
      <c r="I17" s="4">
        <v>2</v>
      </c>
      <c r="J17" s="4">
        <v>55</v>
      </c>
      <c r="K17" s="4">
        <v>40</v>
      </c>
      <c r="L17" s="4">
        <v>0.05</v>
      </c>
      <c r="M17" s="4">
        <v>8</v>
      </c>
      <c r="N17" s="4">
        <v>4</v>
      </c>
      <c r="O17" s="4">
        <v>1.5</v>
      </c>
    </row>
    <row r="18" spans="1:15" x14ac:dyDescent="0.25">
      <c r="A18" s="4" t="s">
        <v>139</v>
      </c>
      <c r="B18" s="4" t="s">
        <v>60</v>
      </c>
      <c r="C18" s="4" t="s">
        <v>120</v>
      </c>
      <c r="D18" s="4">
        <v>0.4</v>
      </c>
      <c r="E18" s="4">
        <v>2</v>
      </c>
      <c r="F18" s="4">
        <v>2</v>
      </c>
      <c r="G18" s="4">
        <v>2</v>
      </c>
      <c r="H18" s="4">
        <v>2</v>
      </c>
      <c r="I18" s="4">
        <v>2</v>
      </c>
      <c r="J18" s="4">
        <v>55</v>
      </c>
      <c r="K18" s="4">
        <v>40</v>
      </c>
      <c r="L18" s="4">
        <v>0.05</v>
      </c>
      <c r="M18" s="4">
        <v>8</v>
      </c>
      <c r="N18" s="4">
        <v>4</v>
      </c>
      <c r="O18" s="4">
        <v>1</v>
      </c>
    </row>
    <row r="19" spans="1:15" x14ac:dyDescent="0.25">
      <c r="A19" s="4" t="s">
        <v>139</v>
      </c>
      <c r="B19" s="4" t="s">
        <v>145</v>
      </c>
      <c r="C19" s="4" t="s">
        <v>146</v>
      </c>
      <c r="D19" s="4">
        <v>0.5</v>
      </c>
      <c r="E19" s="4">
        <v>2.5</v>
      </c>
      <c r="F19" s="4">
        <v>2.5</v>
      </c>
      <c r="G19" s="4">
        <v>2.5</v>
      </c>
      <c r="H19" s="4">
        <v>2</v>
      </c>
      <c r="I19" s="4">
        <v>2</v>
      </c>
      <c r="J19" s="4">
        <v>55</v>
      </c>
      <c r="K19" s="4">
        <v>40</v>
      </c>
      <c r="L19" s="4">
        <v>0.05</v>
      </c>
      <c r="M19" s="4">
        <v>8</v>
      </c>
      <c r="N19" s="4">
        <v>4</v>
      </c>
      <c r="O19" s="4">
        <v>1.25</v>
      </c>
    </row>
    <row r="20" spans="1:15" x14ac:dyDescent="0.25">
      <c r="A20" s="4" t="s">
        <v>139</v>
      </c>
      <c r="B20" s="4" t="s">
        <v>145</v>
      </c>
      <c r="C20" s="4" t="s">
        <v>147</v>
      </c>
      <c r="D20" s="4">
        <v>0.4</v>
      </c>
      <c r="E20" s="4">
        <v>2</v>
      </c>
      <c r="F20" s="4">
        <v>2</v>
      </c>
      <c r="G20" s="4">
        <v>2</v>
      </c>
      <c r="H20" s="4">
        <v>2</v>
      </c>
      <c r="I20" s="4">
        <v>2</v>
      </c>
      <c r="J20" s="4">
        <v>55</v>
      </c>
      <c r="K20" s="4">
        <v>40</v>
      </c>
      <c r="L20" s="4">
        <v>0.05</v>
      </c>
      <c r="M20" s="4">
        <v>8</v>
      </c>
      <c r="N20" s="4">
        <v>4</v>
      </c>
      <c r="O20" s="4">
        <v>1</v>
      </c>
    </row>
    <row r="21" spans="1:15" x14ac:dyDescent="0.25">
      <c r="A21" s="4" t="s">
        <v>139</v>
      </c>
      <c r="B21" s="4" t="s">
        <v>145</v>
      </c>
      <c r="C21" s="4" t="s">
        <v>148</v>
      </c>
      <c r="D21" s="4">
        <v>0.3</v>
      </c>
      <c r="E21" s="4">
        <v>1.5</v>
      </c>
      <c r="F21" s="4">
        <v>1.5</v>
      </c>
      <c r="G21" s="4">
        <v>1.5</v>
      </c>
      <c r="H21" s="4">
        <v>2</v>
      </c>
      <c r="I21" s="4">
        <v>2</v>
      </c>
      <c r="J21" s="4">
        <v>55</v>
      </c>
      <c r="K21" s="4">
        <v>40</v>
      </c>
      <c r="L21" s="4">
        <v>0.05</v>
      </c>
      <c r="M21" s="4">
        <v>8</v>
      </c>
      <c r="N21" s="4">
        <v>4</v>
      </c>
      <c r="O21" s="4">
        <v>0.75</v>
      </c>
    </row>
    <row r="22" spans="1:15" x14ac:dyDescent="0.25">
      <c r="A22" s="4" t="s">
        <v>139</v>
      </c>
      <c r="B22" s="4" t="s">
        <v>149</v>
      </c>
      <c r="C22" s="4" t="s">
        <v>150</v>
      </c>
      <c r="D22" s="4">
        <v>0.5</v>
      </c>
      <c r="E22" s="4">
        <v>2.5</v>
      </c>
      <c r="F22" s="4">
        <v>2.5</v>
      </c>
      <c r="G22" s="4">
        <v>2.5</v>
      </c>
      <c r="H22" s="4">
        <v>2</v>
      </c>
      <c r="I22" s="4">
        <v>2</v>
      </c>
      <c r="J22" s="4">
        <v>55</v>
      </c>
      <c r="K22" s="4">
        <v>40</v>
      </c>
      <c r="L22" s="4">
        <v>0.05</v>
      </c>
      <c r="M22" s="4">
        <v>8</v>
      </c>
      <c r="N22" s="4">
        <v>4</v>
      </c>
      <c r="O22" s="4">
        <v>1.25</v>
      </c>
    </row>
    <row r="23" spans="1:15" x14ac:dyDescent="0.25">
      <c r="A23" s="4" t="s">
        <v>139</v>
      </c>
      <c r="B23" s="4" t="s">
        <v>149</v>
      </c>
      <c r="C23" s="4" t="s">
        <v>151</v>
      </c>
      <c r="D23" s="4">
        <v>0.3</v>
      </c>
      <c r="E23" s="4">
        <v>1.5</v>
      </c>
      <c r="F23" s="4">
        <v>1.5</v>
      </c>
      <c r="G23" s="4">
        <v>1.5</v>
      </c>
      <c r="H23" s="4">
        <v>2</v>
      </c>
      <c r="I23" s="4">
        <v>2</v>
      </c>
      <c r="J23" s="4">
        <v>55</v>
      </c>
      <c r="K23" s="4">
        <v>40</v>
      </c>
      <c r="L23" s="4">
        <v>0.05</v>
      </c>
      <c r="M23" s="4">
        <v>8</v>
      </c>
      <c r="N23" s="4">
        <v>4</v>
      </c>
      <c r="O23" s="4">
        <v>0.75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zoomScaleNormal="100" workbookViewId="0"/>
  </sheetViews>
  <sheetFormatPr defaultColWidth="8.7109375" defaultRowHeight="15" x14ac:dyDescent="0.25"/>
  <cols>
    <col min="1" max="1" width="8" customWidth="1"/>
    <col min="2" max="2" width="5" customWidth="1"/>
    <col min="3" max="3" width="7" customWidth="1"/>
    <col min="4" max="4" width="8" customWidth="1"/>
    <col min="5" max="5" width="10" customWidth="1"/>
    <col min="6" max="6" width="8" customWidth="1"/>
    <col min="7" max="8" width="6" customWidth="1"/>
  </cols>
  <sheetData>
    <row r="1" spans="1:8" ht="16.5" x14ac:dyDescent="0.25">
      <c r="A1" s="1" t="s">
        <v>152</v>
      </c>
    </row>
    <row r="3" spans="1:8" ht="30" x14ac:dyDescent="0.25">
      <c r="A3" s="3" t="s">
        <v>125</v>
      </c>
      <c r="B3" s="3" t="s">
        <v>43</v>
      </c>
      <c r="C3" s="3" t="s">
        <v>98</v>
      </c>
      <c r="D3" s="3" t="s">
        <v>153</v>
      </c>
      <c r="E3" s="3" t="s">
        <v>154</v>
      </c>
      <c r="F3" s="3" t="s">
        <v>134</v>
      </c>
      <c r="G3" s="3" t="s">
        <v>155</v>
      </c>
      <c r="H3" s="3" t="s">
        <v>136</v>
      </c>
    </row>
    <row r="4" spans="1:8" x14ac:dyDescent="0.25">
      <c r="A4" s="4" t="s">
        <v>138</v>
      </c>
      <c r="B4" s="4" t="s">
        <v>54</v>
      </c>
      <c r="C4" s="4" t="s">
        <v>105</v>
      </c>
      <c r="D4" s="4">
        <v>1.8</v>
      </c>
      <c r="E4" s="4">
        <v>0.2</v>
      </c>
      <c r="F4" s="4">
        <v>0.05</v>
      </c>
      <c r="G4" s="4">
        <v>0.2</v>
      </c>
      <c r="H4" s="4">
        <v>0</v>
      </c>
    </row>
    <row r="5" spans="1:8" x14ac:dyDescent="0.25">
      <c r="A5" s="4" t="s">
        <v>138</v>
      </c>
      <c r="B5" s="4" t="s">
        <v>56</v>
      </c>
      <c r="C5" s="4" t="s">
        <v>113</v>
      </c>
      <c r="D5" s="4">
        <v>2.7</v>
      </c>
      <c r="E5" s="4">
        <v>0.2</v>
      </c>
      <c r="F5" s="4">
        <v>0.05</v>
      </c>
      <c r="G5" s="4">
        <v>0.2</v>
      </c>
      <c r="H5" s="4">
        <v>0</v>
      </c>
    </row>
    <row r="6" spans="1:8" x14ac:dyDescent="0.25">
      <c r="A6" s="4" t="s">
        <v>138</v>
      </c>
      <c r="B6" s="4" t="s">
        <v>58</v>
      </c>
      <c r="C6" s="4" t="s">
        <v>117</v>
      </c>
      <c r="D6" s="4">
        <v>2</v>
      </c>
      <c r="E6" s="4">
        <v>0.2</v>
      </c>
      <c r="F6" s="4">
        <v>0.05</v>
      </c>
      <c r="G6" s="4">
        <v>0.2</v>
      </c>
      <c r="H6" s="4">
        <v>0</v>
      </c>
    </row>
    <row r="7" spans="1:8" x14ac:dyDescent="0.25">
      <c r="A7" s="4" t="s">
        <v>138</v>
      </c>
      <c r="B7" s="4" t="s">
        <v>60</v>
      </c>
      <c r="C7" s="4" t="s">
        <v>121</v>
      </c>
      <c r="D7" s="4">
        <v>1.6</v>
      </c>
      <c r="E7" s="4">
        <v>0.2</v>
      </c>
      <c r="F7" s="4">
        <v>0.05</v>
      </c>
      <c r="G7" s="4">
        <v>0.2</v>
      </c>
      <c r="H7" s="4">
        <v>0</v>
      </c>
    </row>
    <row r="8" spans="1:8" x14ac:dyDescent="0.25">
      <c r="A8" s="4" t="s">
        <v>139</v>
      </c>
      <c r="B8" s="4" t="s">
        <v>54</v>
      </c>
      <c r="C8" s="4" t="s">
        <v>105</v>
      </c>
      <c r="D8" s="4">
        <v>3</v>
      </c>
      <c r="E8" s="4">
        <v>0.2</v>
      </c>
      <c r="F8" s="4">
        <v>0.05</v>
      </c>
      <c r="G8" s="4">
        <v>0.2</v>
      </c>
      <c r="H8" s="4">
        <v>0</v>
      </c>
    </row>
    <row r="9" spans="1:8" x14ac:dyDescent="0.25">
      <c r="A9" s="4" t="s">
        <v>139</v>
      </c>
      <c r="B9" s="4" t="s">
        <v>56</v>
      </c>
      <c r="C9" s="4" t="s">
        <v>156</v>
      </c>
      <c r="D9" s="4">
        <v>2.5</v>
      </c>
      <c r="E9" s="4">
        <v>0.2</v>
      </c>
      <c r="F9" s="4">
        <v>0.05</v>
      </c>
      <c r="G9" s="4">
        <v>0.2</v>
      </c>
      <c r="H9" s="4">
        <v>0</v>
      </c>
    </row>
    <row r="10" spans="1:8" x14ac:dyDescent="0.25">
      <c r="A10" s="4" t="s">
        <v>139</v>
      </c>
      <c r="B10" s="4" t="s">
        <v>56</v>
      </c>
      <c r="C10" s="4" t="s">
        <v>157</v>
      </c>
      <c r="D10" s="4">
        <v>2</v>
      </c>
      <c r="E10" s="4">
        <v>0.2</v>
      </c>
      <c r="F10" s="4">
        <v>0.05</v>
      </c>
      <c r="G10" s="4">
        <v>0.2</v>
      </c>
      <c r="H10" s="4">
        <v>0</v>
      </c>
    </row>
    <row r="11" spans="1:8" x14ac:dyDescent="0.25">
      <c r="A11" s="4" t="s">
        <v>139</v>
      </c>
      <c r="B11" s="4" t="s">
        <v>58</v>
      </c>
      <c r="C11" s="4" t="s">
        <v>117</v>
      </c>
      <c r="D11" s="4">
        <v>2.5</v>
      </c>
      <c r="E11" s="4">
        <v>0.2</v>
      </c>
      <c r="F11" s="4">
        <v>0.05</v>
      </c>
      <c r="G11" s="4">
        <v>0.2</v>
      </c>
      <c r="H11" s="4">
        <v>0</v>
      </c>
    </row>
    <row r="12" spans="1:8" x14ac:dyDescent="0.25">
      <c r="A12" s="4" t="s">
        <v>139</v>
      </c>
      <c r="B12" s="4" t="s">
        <v>60</v>
      </c>
      <c r="C12" s="4" t="s">
        <v>121</v>
      </c>
      <c r="D12" s="4">
        <v>3</v>
      </c>
      <c r="E12" s="4">
        <v>0.2</v>
      </c>
      <c r="F12" s="4">
        <v>0.05</v>
      </c>
      <c r="G12" s="4">
        <v>0.2</v>
      </c>
      <c r="H12" s="4">
        <v>0</v>
      </c>
    </row>
    <row r="13" spans="1:8" x14ac:dyDescent="0.25">
      <c r="A13" s="4" t="s">
        <v>139</v>
      </c>
      <c r="B13" s="4" t="s">
        <v>145</v>
      </c>
      <c r="C13" s="4" t="s">
        <v>158</v>
      </c>
      <c r="D13" s="4">
        <v>2.5</v>
      </c>
      <c r="E13" s="4">
        <v>0.2</v>
      </c>
      <c r="F13" s="4">
        <v>0.05</v>
      </c>
      <c r="G13" s="4">
        <v>0.2</v>
      </c>
      <c r="H13" s="4">
        <v>0</v>
      </c>
    </row>
    <row r="14" spans="1:8" x14ac:dyDescent="0.25">
      <c r="A14" s="4" t="s">
        <v>139</v>
      </c>
      <c r="B14" s="4" t="s">
        <v>145</v>
      </c>
      <c r="C14" s="4" t="s">
        <v>159</v>
      </c>
      <c r="D14" s="4">
        <v>1.5</v>
      </c>
      <c r="E14" s="4">
        <v>0.2</v>
      </c>
      <c r="F14" s="4">
        <v>0.05</v>
      </c>
      <c r="G14" s="4">
        <v>0.2</v>
      </c>
      <c r="H14" s="4">
        <v>0</v>
      </c>
    </row>
    <row r="15" spans="1:8" x14ac:dyDescent="0.25">
      <c r="A15" s="4" t="s">
        <v>139</v>
      </c>
      <c r="B15" s="4" t="s">
        <v>149</v>
      </c>
      <c r="C15" s="4" t="s">
        <v>160</v>
      </c>
      <c r="D15" s="4">
        <v>2.5</v>
      </c>
      <c r="E15" s="4">
        <v>0.2</v>
      </c>
      <c r="F15" s="4">
        <v>0.05</v>
      </c>
      <c r="G15" s="4">
        <v>0.2</v>
      </c>
      <c r="H15" s="4">
        <v>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zoomScaleNormal="100" workbookViewId="0"/>
  </sheetViews>
  <sheetFormatPr defaultColWidth="8.7109375" defaultRowHeight="15" x14ac:dyDescent="0.25"/>
  <cols>
    <col min="1" max="1" width="8" customWidth="1"/>
    <col min="2" max="2" width="5" customWidth="1"/>
    <col min="3" max="4" width="8" customWidth="1"/>
  </cols>
  <sheetData>
    <row r="1" spans="1:4" ht="16.5" x14ac:dyDescent="0.25">
      <c r="A1" s="1" t="s">
        <v>161</v>
      </c>
    </row>
    <row r="3" spans="1:4" ht="30" x14ac:dyDescent="0.25">
      <c r="A3" s="3" t="s">
        <v>125</v>
      </c>
      <c r="B3" s="3" t="s">
        <v>43</v>
      </c>
      <c r="C3" s="3" t="s">
        <v>98</v>
      </c>
      <c r="D3" s="3" t="s">
        <v>153</v>
      </c>
    </row>
    <row r="4" spans="1:4" x14ac:dyDescent="0.25">
      <c r="A4" s="4" t="s">
        <v>138</v>
      </c>
      <c r="B4" s="4" t="s">
        <v>54</v>
      </c>
      <c r="C4" s="4" t="s">
        <v>108</v>
      </c>
      <c r="D4" s="4">
        <v>1.2</v>
      </c>
    </row>
    <row r="5" spans="1:4" x14ac:dyDescent="0.25">
      <c r="A5" s="4" t="s">
        <v>138</v>
      </c>
      <c r="B5" s="4" t="s">
        <v>56</v>
      </c>
      <c r="C5" s="4" t="s">
        <v>114</v>
      </c>
      <c r="D5" s="4">
        <v>0.8</v>
      </c>
    </row>
    <row r="6" spans="1:4" x14ac:dyDescent="0.25">
      <c r="A6" s="4" t="s">
        <v>138</v>
      </c>
      <c r="B6" s="4" t="s">
        <v>56</v>
      </c>
      <c r="C6" s="4" t="s">
        <v>115</v>
      </c>
      <c r="D6" s="4">
        <v>0.7</v>
      </c>
    </row>
    <row r="7" spans="1:4" x14ac:dyDescent="0.25">
      <c r="A7" s="4" t="s">
        <v>138</v>
      </c>
      <c r="B7" s="4" t="s">
        <v>58</v>
      </c>
      <c r="C7" s="4" t="s">
        <v>118</v>
      </c>
      <c r="D7" s="4">
        <v>1</v>
      </c>
    </row>
    <row r="8" spans="1:4" x14ac:dyDescent="0.25">
      <c r="A8" s="4" t="s">
        <v>138</v>
      </c>
      <c r="B8" s="4" t="s">
        <v>60</v>
      </c>
      <c r="C8" s="4" t="s">
        <v>122</v>
      </c>
      <c r="D8" s="4">
        <v>0.8</v>
      </c>
    </row>
    <row r="9" spans="1:4" x14ac:dyDescent="0.25">
      <c r="A9" s="4" t="s">
        <v>138</v>
      </c>
      <c r="B9" s="4" t="s">
        <v>60</v>
      </c>
      <c r="C9" s="4" t="s">
        <v>123</v>
      </c>
      <c r="D9" s="4">
        <v>0.7</v>
      </c>
    </row>
    <row r="10" spans="1:4" x14ac:dyDescent="0.25">
      <c r="A10" s="4" t="s">
        <v>139</v>
      </c>
      <c r="B10" s="4" t="s">
        <v>54</v>
      </c>
      <c r="C10" s="4" t="s">
        <v>108</v>
      </c>
      <c r="D10" s="4">
        <v>2</v>
      </c>
    </row>
    <row r="11" spans="1:4" x14ac:dyDescent="0.25">
      <c r="A11" s="4" t="s">
        <v>139</v>
      </c>
      <c r="B11" s="4" t="s">
        <v>56</v>
      </c>
      <c r="C11" s="4" t="s">
        <v>162</v>
      </c>
      <c r="D11" s="4">
        <v>2.5</v>
      </c>
    </row>
    <row r="12" spans="1:4" x14ac:dyDescent="0.25">
      <c r="A12" s="4" t="s">
        <v>139</v>
      </c>
      <c r="B12" s="4" t="s">
        <v>58</v>
      </c>
      <c r="C12" s="4" t="s">
        <v>118</v>
      </c>
      <c r="D12" s="4">
        <v>1.5</v>
      </c>
    </row>
    <row r="13" spans="1:4" x14ac:dyDescent="0.25">
      <c r="A13" s="4" t="s">
        <v>139</v>
      </c>
      <c r="B13" s="4" t="s">
        <v>60</v>
      </c>
      <c r="C13" s="4" t="s">
        <v>122</v>
      </c>
      <c r="D13" s="4">
        <v>2</v>
      </c>
    </row>
    <row r="14" spans="1:4" x14ac:dyDescent="0.25">
      <c r="A14" s="4" t="s">
        <v>139</v>
      </c>
      <c r="B14" s="4" t="s">
        <v>60</v>
      </c>
      <c r="C14" s="4" t="s">
        <v>123</v>
      </c>
      <c r="D14" s="4">
        <v>1</v>
      </c>
    </row>
    <row r="15" spans="1:4" x14ac:dyDescent="0.25">
      <c r="A15" s="4" t="s">
        <v>139</v>
      </c>
      <c r="B15" s="4" t="s">
        <v>145</v>
      </c>
      <c r="C15" s="4" t="s">
        <v>163</v>
      </c>
      <c r="D15" s="4">
        <v>2</v>
      </c>
    </row>
    <row r="16" spans="1:4" x14ac:dyDescent="0.25">
      <c r="A16" s="4" t="s">
        <v>139</v>
      </c>
      <c r="B16" s="4" t="s">
        <v>149</v>
      </c>
      <c r="C16" s="4" t="s">
        <v>164</v>
      </c>
      <c r="D16" s="4">
        <v>1.5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zoomScaleNormal="100" workbookViewId="0"/>
  </sheetViews>
  <sheetFormatPr defaultColWidth="8.7109375" defaultRowHeight="15" x14ac:dyDescent="0.25"/>
  <cols>
    <col min="1" max="1" width="8" customWidth="1"/>
    <col min="2" max="3" width="10" customWidth="1"/>
    <col min="4" max="4" width="9" customWidth="1"/>
    <col min="5" max="6" width="7" customWidth="1"/>
    <col min="7" max="7" width="8" customWidth="1"/>
    <col min="8" max="8" width="9" customWidth="1"/>
    <col min="9" max="9" width="7" customWidth="1"/>
    <col min="10" max="10" width="6" customWidth="1"/>
    <col min="11" max="11" width="8" customWidth="1"/>
    <col min="12" max="12" width="6" customWidth="1"/>
    <col min="13" max="13" width="11" customWidth="1"/>
    <col min="14" max="14" width="4" customWidth="1"/>
  </cols>
  <sheetData>
    <row r="1" spans="1:14" ht="16.5" x14ac:dyDescent="0.25">
      <c r="A1" s="1" t="s">
        <v>165</v>
      </c>
    </row>
    <row r="3" spans="1:14" ht="30" x14ac:dyDescent="0.25">
      <c r="A3" s="3" t="s">
        <v>125</v>
      </c>
      <c r="B3" s="3" t="s">
        <v>166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171</v>
      </c>
      <c r="H3" s="3" t="s">
        <v>172</v>
      </c>
      <c r="I3" s="3" t="s">
        <v>173</v>
      </c>
      <c r="J3" s="3" t="s">
        <v>174</v>
      </c>
      <c r="K3" s="3" t="s">
        <v>175</v>
      </c>
      <c r="L3" s="3" t="s">
        <v>176</v>
      </c>
      <c r="M3" s="3" t="s">
        <v>137</v>
      </c>
      <c r="N3" s="3" t="s">
        <v>177</v>
      </c>
    </row>
    <row r="4" spans="1:14" x14ac:dyDescent="0.25">
      <c r="A4" s="4" t="s">
        <v>138</v>
      </c>
      <c r="B4" s="4">
        <v>5</v>
      </c>
      <c r="C4" s="4">
        <v>0.5</v>
      </c>
      <c r="D4" s="4">
        <v>2</v>
      </c>
      <c r="E4" s="4">
        <v>0.95</v>
      </c>
      <c r="F4" s="4">
        <v>0.95</v>
      </c>
      <c r="G4" s="4">
        <v>0.5</v>
      </c>
      <c r="H4" s="4">
        <v>8</v>
      </c>
      <c r="I4" s="4">
        <v>6</v>
      </c>
      <c r="J4" s="4">
        <v>0.04</v>
      </c>
      <c r="K4" s="4">
        <v>0.05</v>
      </c>
      <c r="L4" s="4">
        <v>0.15</v>
      </c>
      <c r="M4" s="4">
        <v>1.6</v>
      </c>
      <c r="N4" s="4">
        <v>4</v>
      </c>
    </row>
    <row r="5" spans="1:14" x14ac:dyDescent="0.25">
      <c r="A5" s="4" t="s">
        <v>139</v>
      </c>
      <c r="B5" s="4">
        <v>10</v>
      </c>
      <c r="C5" s="4">
        <v>1</v>
      </c>
      <c r="D5" s="4">
        <v>3</v>
      </c>
      <c r="E5" s="4">
        <v>0.95</v>
      </c>
      <c r="F5" s="4">
        <v>0.95</v>
      </c>
      <c r="G5" s="4">
        <v>0.5</v>
      </c>
      <c r="H5" s="4">
        <v>8</v>
      </c>
      <c r="I5" s="4">
        <v>6</v>
      </c>
      <c r="J5" s="4">
        <v>0.04</v>
      </c>
      <c r="K5" s="4">
        <v>0.05</v>
      </c>
      <c r="L5" s="4">
        <v>0.15</v>
      </c>
      <c r="M5" s="4">
        <v>3.2</v>
      </c>
      <c r="N5" s="4">
        <v>6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zoomScaleNormal="100" workbookViewId="0"/>
  </sheetViews>
  <sheetFormatPr defaultColWidth="8.7109375" defaultRowHeight="15" x14ac:dyDescent="0.25"/>
  <cols>
    <col min="1" max="1" width="28" customWidth="1"/>
    <col min="2" max="3" width="12" customWidth="1"/>
    <col min="4" max="4" width="18" customWidth="1"/>
  </cols>
  <sheetData>
    <row r="1" spans="1:4" ht="16.5" x14ac:dyDescent="0.25">
      <c r="A1" s="1" t="s">
        <v>178</v>
      </c>
    </row>
    <row r="3" spans="1:4" x14ac:dyDescent="0.25">
      <c r="A3" s="3" t="s">
        <v>179</v>
      </c>
      <c r="B3" s="3" t="s">
        <v>180</v>
      </c>
      <c r="C3" s="3" t="s">
        <v>181</v>
      </c>
      <c r="D3" s="3" t="s">
        <v>98</v>
      </c>
    </row>
    <row r="4" spans="1:4" x14ac:dyDescent="0.25">
      <c r="A4" s="4" t="s">
        <v>182</v>
      </c>
      <c r="B4" s="4" t="s">
        <v>183</v>
      </c>
      <c r="C4" s="4">
        <v>50</v>
      </c>
      <c r="D4" s="4" t="s">
        <v>184</v>
      </c>
    </row>
    <row r="5" spans="1:4" x14ac:dyDescent="0.25">
      <c r="A5" s="4" t="s">
        <v>185</v>
      </c>
      <c r="B5" s="4" t="s">
        <v>186</v>
      </c>
      <c r="C5" s="4">
        <v>0.5</v>
      </c>
      <c r="D5" s="4" t="s">
        <v>187</v>
      </c>
    </row>
    <row r="6" spans="1:4" x14ac:dyDescent="0.25">
      <c r="A6" s="4" t="s">
        <v>188</v>
      </c>
      <c r="B6" s="4" t="s">
        <v>189</v>
      </c>
      <c r="C6" s="4">
        <v>49.5</v>
      </c>
      <c r="D6" s="4" t="s">
        <v>184</v>
      </c>
    </row>
    <row r="7" spans="1:4" x14ac:dyDescent="0.25">
      <c r="A7" s="4" t="s">
        <v>190</v>
      </c>
      <c r="B7" s="4" t="s">
        <v>191</v>
      </c>
      <c r="C7" s="4">
        <v>0.2</v>
      </c>
      <c r="D7" s="4" t="s">
        <v>184</v>
      </c>
    </row>
    <row r="8" spans="1:4" ht="25.5" x14ac:dyDescent="0.25">
      <c r="A8" s="4" t="s">
        <v>192</v>
      </c>
      <c r="B8" s="4" t="s">
        <v>193</v>
      </c>
      <c r="C8" s="4">
        <v>1</v>
      </c>
      <c r="D8" s="4" t="s">
        <v>194</v>
      </c>
    </row>
    <row r="9" spans="1:4" x14ac:dyDescent="0.25">
      <c r="A9" s="4" t="s">
        <v>195</v>
      </c>
      <c r="B9" s="4" t="s">
        <v>196</v>
      </c>
      <c r="C9" s="4">
        <v>0.1</v>
      </c>
      <c r="D9" s="4" t="s">
        <v>197</v>
      </c>
    </row>
    <row r="10" spans="1:4" x14ac:dyDescent="0.25">
      <c r="A10" s="4" t="s">
        <v>198</v>
      </c>
      <c r="B10" s="4" t="s">
        <v>199</v>
      </c>
      <c r="C10" s="4">
        <v>30</v>
      </c>
      <c r="D10" s="4" t="s">
        <v>197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3" width="16" customWidth="1"/>
    <col min="4" max="4" width="30" customWidth="1"/>
  </cols>
  <sheetData>
    <row r="1" spans="1:4" ht="16.5" x14ac:dyDescent="0.25">
      <c r="A1" s="1" t="s">
        <v>200</v>
      </c>
    </row>
    <row r="3" spans="1:4" x14ac:dyDescent="0.25">
      <c r="A3" s="3" t="s">
        <v>179</v>
      </c>
      <c r="B3" s="3" t="s">
        <v>180</v>
      </c>
      <c r="C3" s="3" t="s">
        <v>181</v>
      </c>
      <c r="D3" s="3" t="s">
        <v>201</v>
      </c>
    </row>
    <row r="4" spans="1:4" x14ac:dyDescent="0.25">
      <c r="A4" s="4" t="s">
        <v>202</v>
      </c>
      <c r="B4" s="4" t="s">
        <v>203</v>
      </c>
      <c r="C4" s="4">
        <v>0.1</v>
      </c>
      <c r="D4" s="4" t="s">
        <v>204</v>
      </c>
    </row>
    <row r="5" spans="1:4" x14ac:dyDescent="0.25">
      <c r="A5" s="4" t="s">
        <v>205</v>
      </c>
      <c r="B5" s="4" t="s">
        <v>206</v>
      </c>
      <c r="C5" s="4">
        <v>0.12</v>
      </c>
      <c r="D5" s="4" t="s">
        <v>207</v>
      </c>
    </row>
    <row r="6" spans="1:4" x14ac:dyDescent="0.25">
      <c r="A6" s="4" t="s">
        <v>208</v>
      </c>
      <c r="B6" s="4" t="s">
        <v>209</v>
      </c>
      <c r="C6" s="4">
        <v>0.1</v>
      </c>
      <c r="D6" s="4" t="s">
        <v>210</v>
      </c>
    </row>
    <row r="7" spans="1:4" x14ac:dyDescent="0.25">
      <c r="A7" s="4" t="s">
        <v>211</v>
      </c>
      <c r="B7" s="4" t="s">
        <v>212</v>
      </c>
      <c r="C7" s="4">
        <v>0.05</v>
      </c>
      <c r="D7" s="4" t="s">
        <v>213</v>
      </c>
    </row>
    <row r="8" spans="1:4" x14ac:dyDescent="0.25">
      <c r="A8" s="4" t="s">
        <v>214</v>
      </c>
      <c r="B8" s="4" t="s">
        <v>215</v>
      </c>
      <c r="C8" s="4">
        <v>0.05</v>
      </c>
      <c r="D8" s="4" t="s">
        <v>216</v>
      </c>
    </row>
    <row r="9" spans="1:4" x14ac:dyDescent="0.25">
      <c r="A9" s="4" t="s">
        <v>217</v>
      </c>
      <c r="B9" s="4" t="s">
        <v>218</v>
      </c>
      <c r="C9" s="4">
        <v>0.05</v>
      </c>
      <c r="D9" s="4" t="s">
        <v>219</v>
      </c>
    </row>
    <row r="10" spans="1:4" x14ac:dyDescent="0.25">
      <c r="A10" s="4" t="s">
        <v>220</v>
      </c>
      <c r="B10" s="4" t="s">
        <v>221</v>
      </c>
      <c r="C10" s="4">
        <v>2</v>
      </c>
      <c r="D10" s="4" t="s">
        <v>222</v>
      </c>
    </row>
    <row r="11" spans="1:4" x14ac:dyDescent="0.25">
      <c r="A11" s="4" t="s">
        <v>223</v>
      </c>
      <c r="B11" s="4" t="s">
        <v>224</v>
      </c>
      <c r="C11" s="4">
        <v>1</v>
      </c>
      <c r="D11" s="4" t="s">
        <v>225</v>
      </c>
    </row>
    <row r="12" spans="1:4" x14ac:dyDescent="0.25">
      <c r="A12" s="4" t="s">
        <v>226</v>
      </c>
      <c r="B12" s="4" t="s">
        <v>227</v>
      </c>
      <c r="C12" s="4" t="s">
        <v>228</v>
      </c>
      <c r="D12" s="4" t="s">
        <v>229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zoomScaleNormal="100" workbookViewId="0">
      <selection activeCell="A4" sqref="A4"/>
    </sheetView>
  </sheetViews>
  <sheetFormatPr defaultColWidth="8.7109375" defaultRowHeight="15" x14ac:dyDescent="0.25"/>
  <cols>
    <col min="1" max="1" width="30" customWidth="1"/>
    <col min="2" max="3" width="12" customWidth="1"/>
    <col min="4" max="4" width="16" customWidth="1"/>
  </cols>
  <sheetData>
    <row r="1" spans="1:4" ht="16.5" x14ac:dyDescent="0.25">
      <c r="A1" s="1" t="s">
        <v>230</v>
      </c>
    </row>
    <row r="3" spans="1:4" x14ac:dyDescent="0.25">
      <c r="A3" s="3" t="s">
        <v>179</v>
      </c>
      <c r="B3" s="3" t="s">
        <v>180</v>
      </c>
      <c r="C3" s="3" t="s">
        <v>181</v>
      </c>
      <c r="D3" s="3" t="s">
        <v>98</v>
      </c>
    </row>
    <row r="4" spans="1:4" x14ac:dyDescent="0.25">
      <c r="A4" s="9" t="s">
        <v>356</v>
      </c>
      <c r="B4" s="4" t="s">
        <v>231</v>
      </c>
      <c r="C4" s="4">
        <v>2000</v>
      </c>
      <c r="D4" s="4" t="s">
        <v>232</v>
      </c>
    </row>
    <row r="5" spans="1:4" x14ac:dyDescent="0.25">
      <c r="A5" s="4" t="s">
        <v>233</v>
      </c>
      <c r="B5" s="4" t="s">
        <v>234</v>
      </c>
      <c r="C5" s="4">
        <v>50</v>
      </c>
      <c r="D5" s="4" t="s">
        <v>232</v>
      </c>
    </row>
    <row r="6" spans="1:4" x14ac:dyDescent="0.25">
      <c r="A6" s="4" t="s">
        <v>235</v>
      </c>
      <c r="B6" s="4" t="s">
        <v>236</v>
      </c>
      <c r="C6" s="4">
        <v>500</v>
      </c>
      <c r="D6" s="4" t="s">
        <v>237</v>
      </c>
    </row>
    <row r="7" spans="1:4" x14ac:dyDescent="0.25">
      <c r="A7" s="4" t="s">
        <v>238</v>
      </c>
      <c r="B7" s="4" t="s">
        <v>239</v>
      </c>
      <c r="C7" s="4">
        <v>120</v>
      </c>
      <c r="D7" s="4" t="s">
        <v>232</v>
      </c>
    </row>
    <row r="8" spans="1:4" x14ac:dyDescent="0.25">
      <c r="A8" s="4" t="s">
        <v>240</v>
      </c>
      <c r="B8" s="4" t="s">
        <v>241</v>
      </c>
      <c r="C8" s="4">
        <v>60</v>
      </c>
      <c r="D8" s="4" t="s">
        <v>232</v>
      </c>
    </row>
    <row r="9" spans="1:4" x14ac:dyDescent="0.25">
      <c r="A9" s="4" t="s">
        <v>242</v>
      </c>
      <c r="B9" s="4" t="s">
        <v>243</v>
      </c>
      <c r="C9" s="4">
        <v>5</v>
      </c>
      <c r="D9" s="4" t="s">
        <v>232</v>
      </c>
    </row>
    <row r="10" spans="1:4" x14ac:dyDescent="0.25">
      <c r="A10" s="4" t="s">
        <v>244</v>
      </c>
      <c r="B10" s="4" t="s">
        <v>245</v>
      </c>
      <c r="C10" s="4">
        <v>0</v>
      </c>
      <c r="D10" s="4" t="s">
        <v>232</v>
      </c>
    </row>
    <row r="11" spans="1:4" x14ac:dyDescent="0.25">
      <c r="A11" s="4" t="s">
        <v>246</v>
      </c>
      <c r="B11" s="4" t="s">
        <v>247</v>
      </c>
      <c r="C11" s="4">
        <v>0.3</v>
      </c>
      <c r="D11" s="4" t="s">
        <v>110</v>
      </c>
    </row>
    <row r="12" spans="1:4" x14ac:dyDescent="0.25">
      <c r="A12" s="4" t="s">
        <v>248</v>
      </c>
      <c r="B12" s="4" t="s">
        <v>249</v>
      </c>
      <c r="C12" s="4">
        <v>12000</v>
      </c>
      <c r="D12" s="4" t="s">
        <v>232</v>
      </c>
    </row>
    <row r="13" spans="1:4" x14ac:dyDescent="0.25">
      <c r="A13" s="4" t="s">
        <v>250</v>
      </c>
      <c r="B13" s="4" t="s">
        <v>251</v>
      </c>
      <c r="C13" s="4">
        <v>0.7</v>
      </c>
      <c r="D13" s="4" t="s">
        <v>110</v>
      </c>
    </row>
    <row r="14" spans="1:4" x14ac:dyDescent="0.25">
      <c r="A14" s="4" t="s">
        <v>252</v>
      </c>
      <c r="B14" s="4" t="s">
        <v>110</v>
      </c>
      <c r="C14" s="4">
        <v>0.18</v>
      </c>
      <c r="D14" s="4" t="s">
        <v>253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26" customWidth="1"/>
    <col min="3" max="3" width="42" customWidth="1"/>
  </cols>
  <sheetData>
    <row r="1" spans="1:3" ht="16.5" x14ac:dyDescent="0.25">
      <c r="A1" s="1" t="s">
        <v>254</v>
      </c>
    </row>
    <row r="3" spans="1:3" x14ac:dyDescent="0.25">
      <c r="A3" s="3" t="s">
        <v>255</v>
      </c>
      <c r="B3" s="3" t="s">
        <v>181</v>
      </c>
      <c r="C3" s="3" t="s">
        <v>201</v>
      </c>
    </row>
    <row r="4" spans="1:3" x14ac:dyDescent="0.25">
      <c r="A4" s="4" t="s">
        <v>256</v>
      </c>
      <c r="B4" s="4">
        <v>300</v>
      </c>
      <c r="C4" s="4" t="s">
        <v>257</v>
      </c>
    </row>
    <row r="5" spans="1:3" x14ac:dyDescent="0.25">
      <c r="A5" s="4" t="s">
        <v>258</v>
      </c>
      <c r="B5" s="4">
        <v>65</v>
      </c>
      <c r="C5" s="4" t="s">
        <v>259</v>
      </c>
    </row>
    <row r="6" spans="1:3" x14ac:dyDescent="0.25">
      <c r="A6" s="4" t="s">
        <v>260</v>
      </c>
      <c r="B6" s="4">
        <v>100</v>
      </c>
      <c r="C6" s="4" t="s">
        <v>261</v>
      </c>
    </row>
    <row r="7" spans="1:3" x14ac:dyDescent="0.25">
      <c r="A7" s="4" t="s">
        <v>262</v>
      </c>
      <c r="B7" s="4">
        <v>100</v>
      </c>
      <c r="C7" s="4" t="s">
        <v>263</v>
      </c>
    </row>
    <row r="8" spans="1:3" x14ac:dyDescent="0.25">
      <c r="A8" s="4" t="s">
        <v>264</v>
      </c>
      <c r="B8" s="4" t="s">
        <v>265</v>
      </c>
      <c r="C8" s="4" t="s">
        <v>266</v>
      </c>
    </row>
    <row r="9" spans="1:3" x14ac:dyDescent="0.25">
      <c r="A9" s="4" t="s">
        <v>267</v>
      </c>
      <c r="B9" s="4">
        <v>2024</v>
      </c>
      <c r="C9" s="4" t="s">
        <v>268</v>
      </c>
    </row>
    <row r="10" spans="1:3" x14ac:dyDescent="0.25">
      <c r="A10" s="4" t="s">
        <v>269</v>
      </c>
      <c r="B10" s="4" t="s">
        <v>270</v>
      </c>
      <c r="C10" s="4" t="s">
        <v>271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92" customWidth="1"/>
  </cols>
  <sheetData>
    <row r="1" spans="1:2" ht="16.5" x14ac:dyDescent="0.25">
      <c r="A1" s="1" t="s">
        <v>272</v>
      </c>
    </row>
    <row r="3" spans="1:2" x14ac:dyDescent="0.25">
      <c r="A3" s="3" t="s">
        <v>273</v>
      </c>
      <c r="B3" s="3" t="s">
        <v>274</v>
      </c>
    </row>
    <row r="4" spans="1:2" x14ac:dyDescent="0.25">
      <c r="A4" s="4" t="s">
        <v>275</v>
      </c>
      <c r="B4" s="4" t="s">
        <v>276</v>
      </c>
    </row>
    <row r="5" spans="1:2" x14ac:dyDescent="0.25">
      <c r="A5" s="4" t="s">
        <v>277</v>
      </c>
      <c r="B5" s="4" t="s">
        <v>278</v>
      </c>
    </row>
    <row r="6" spans="1:2" x14ac:dyDescent="0.25">
      <c r="A6" s="4" t="s">
        <v>279</v>
      </c>
      <c r="B6" s="4" t="s">
        <v>280</v>
      </c>
    </row>
    <row r="7" spans="1:2" x14ac:dyDescent="0.25">
      <c r="A7" s="4" t="s">
        <v>281</v>
      </c>
      <c r="B7" s="4" t="s">
        <v>282</v>
      </c>
    </row>
    <row r="8" spans="1:2" x14ac:dyDescent="0.25">
      <c r="A8" s="4" t="s">
        <v>283</v>
      </c>
      <c r="B8" s="4" t="s">
        <v>284</v>
      </c>
    </row>
    <row r="9" spans="1:2" x14ac:dyDescent="0.25">
      <c r="A9" s="4" t="s">
        <v>285</v>
      </c>
      <c r="B9" s="4" t="s">
        <v>286</v>
      </c>
    </row>
    <row r="10" spans="1:2" x14ac:dyDescent="0.25">
      <c r="A10" s="4" t="s">
        <v>287</v>
      </c>
      <c r="B10" s="4" t="s">
        <v>288</v>
      </c>
    </row>
    <row r="11" spans="1:2" x14ac:dyDescent="0.25">
      <c r="A11" s="4" t="s">
        <v>289</v>
      </c>
      <c r="B11" s="4" t="s">
        <v>290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22" customWidth="1"/>
    <col min="3" max="3" width="46" customWidth="1"/>
  </cols>
  <sheetData>
    <row r="1" spans="1:3" ht="16.5" x14ac:dyDescent="0.25">
      <c r="A1" s="1" t="s">
        <v>291</v>
      </c>
    </row>
    <row r="3" spans="1:3" ht="30" x14ac:dyDescent="0.25">
      <c r="A3" s="3" t="s">
        <v>292</v>
      </c>
      <c r="B3" s="3" t="s">
        <v>293</v>
      </c>
      <c r="C3" s="3" t="s">
        <v>201</v>
      </c>
    </row>
    <row r="4" spans="1:3" x14ac:dyDescent="0.25">
      <c r="A4" s="4" t="s">
        <v>294</v>
      </c>
      <c r="B4" s="4" t="s">
        <v>295</v>
      </c>
      <c r="C4" s="4" t="s">
        <v>296</v>
      </c>
    </row>
    <row r="5" spans="1:3" x14ac:dyDescent="0.25">
      <c r="A5" s="4" t="s">
        <v>297</v>
      </c>
      <c r="B5" s="4" t="s">
        <v>298</v>
      </c>
      <c r="C5" s="4" t="s">
        <v>299</v>
      </c>
    </row>
    <row r="6" spans="1:3" x14ac:dyDescent="0.25">
      <c r="A6" s="4" t="s">
        <v>300</v>
      </c>
      <c r="B6" s="4" t="s">
        <v>301</v>
      </c>
      <c r="C6" s="4" t="s">
        <v>302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0" customWidth="1"/>
    <col min="3" max="3" width="16" customWidth="1"/>
    <col min="4" max="4" width="52" customWidth="1"/>
  </cols>
  <sheetData>
    <row r="1" spans="1:4" ht="16.5" x14ac:dyDescent="0.25">
      <c r="A1" s="1" t="s">
        <v>303</v>
      </c>
    </row>
    <row r="3" spans="1:4" ht="30" x14ac:dyDescent="0.25">
      <c r="A3" s="3" t="s">
        <v>304</v>
      </c>
      <c r="B3" s="3" t="s">
        <v>305</v>
      </c>
      <c r="C3" s="3" t="s">
        <v>306</v>
      </c>
      <c r="D3" s="3" t="s">
        <v>68</v>
      </c>
    </row>
    <row r="4" spans="1:4" ht="38.25" x14ac:dyDescent="0.25">
      <c r="A4" s="4" t="s">
        <v>307</v>
      </c>
      <c r="B4" s="4" t="s">
        <v>308</v>
      </c>
      <c r="C4" s="4" t="s">
        <v>309</v>
      </c>
      <c r="D4" s="4" t="s">
        <v>310</v>
      </c>
    </row>
    <row r="5" spans="1:4" ht="25.5" x14ac:dyDescent="0.25">
      <c r="A5" s="4" t="s">
        <v>311</v>
      </c>
      <c r="B5" s="4" t="s">
        <v>312</v>
      </c>
      <c r="C5" s="4" t="s">
        <v>313</v>
      </c>
      <c r="D5" s="4" t="s">
        <v>314</v>
      </c>
    </row>
    <row r="6" spans="1:4" x14ac:dyDescent="0.25">
      <c r="A6" s="4" t="s">
        <v>315</v>
      </c>
      <c r="B6" s="4" t="s">
        <v>316</v>
      </c>
      <c r="C6" s="4" t="s">
        <v>317</v>
      </c>
      <c r="D6" s="4" t="s">
        <v>318</v>
      </c>
    </row>
    <row r="7" spans="1:4" x14ac:dyDescent="0.25">
      <c r="A7" s="4" t="s">
        <v>319</v>
      </c>
      <c r="B7" s="4" t="s">
        <v>316</v>
      </c>
      <c r="C7" s="4" t="s">
        <v>320</v>
      </c>
      <c r="D7" s="4" t="s">
        <v>321</v>
      </c>
    </row>
    <row r="8" spans="1:4" x14ac:dyDescent="0.25">
      <c r="A8" s="4" t="s">
        <v>322</v>
      </c>
      <c r="B8" s="4" t="s">
        <v>308</v>
      </c>
      <c r="C8" s="4" t="s">
        <v>323</v>
      </c>
      <c r="D8" s="4" t="s">
        <v>324</v>
      </c>
    </row>
    <row r="10" spans="1:4" x14ac:dyDescent="0.25">
      <c r="A10" s="6" t="s">
        <v>325</v>
      </c>
    </row>
    <row r="11" spans="1:4" x14ac:dyDescent="0.25">
      <c r="A11" s="7" t="s">
        <v>326</v>
      </c>
    </row>
    <row r="12" spans="1:4" x14ac:dyDescent="0.25">
      <c r="A12" s="7" t="s">
        <v>327</v>
      </c>
    </row>
    <row r="13" spans="1:4" x14ac:dyDescent="0.25">
      <c r="A13" s="7" t="s">
        <v>328</v>
      </c>
    </row>
    <row r="14" spans="1:4" x14ac:dyDescent="0.25">
      <c r="A14" s="7" t="s">
        <v>329</v>
      </c>
    </row>
    <row r="15" spans="1:4" x14ac:dyDescent="0.25">
      <c r="A15" s="7" t="s">
        <v>330</v>
      </c>
    </row>
    <row r="16" spans="1:4" x14ac:dyDescent="0.25">
      <c r="A16" s="7" t="s">
        <v>331</v>
      </c>
    </row>
    <row r="17" spans="1:1" x14ac:dyDescent="0.25">
      <c r="A17" s="7" t="s">
        <v>332</v>
      </c>
    </row>
    <row r="18" spans="1:1" x14ac:dyDescent="0.25">
      <c r="A18" s="7" t="s">
        <v>333</v>
      </c>
    </row>
    <row r="19" spans="1:1" x14ac:dyDescent="0.25">
      <c r="A19" s="7" t="s">
        <v>334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9"/>
  <sheetViews>
    <sheetView zoomScaleNormal="100" workbookViewId="0"/>
  </sheetViews>
  <sheetFormatPr defaultColWidth="8.7109375" defaultRowHeight="15" x14ac:dyDescent="0.25"/>
  <cols>
    <col min="1" max="1" width="6" customWidth="1"/>
    <col min="2" max="3" width="10" customWidth="1"/>
    <col min="4" max="5" width="22" customWidth="1"/>
    <col min="6" max="6" width="20" customWidth="1"/>
  </cols>
  <sheetData>
    <row r="1" spans="1:6" ht="16.5" x14ac:dyDescent="0.25">
      <c r="A1" s="1" t="s">
        <v>335</v>
      </c>
    </row>
    <row r="3" spans="1:6" ht="30" x14ac:dyDescent="0.25">
      <c r="A3" s="3" t="s">
        <v>336</v>
      </c>
      <c r="B3" s="3" t="s">
        <v>337</v>
      </c>
      <c r="C3" s="3" t="s">
        <v>338</v>
      </c>
      <c r="D3" s="3" t="s">
        <v>339</v>
      </c>
      <c r="E3" s="3" t="s">
        <v>340</v>
      </c>
      <c r="F3" s="3" t="s">
        <v>341</v>
      </c>
    </row>
    <row r="4" spans="1:6" x14ac:dyDescent="0.25">
      <c r="A4" s="4">
        <v>0</v>
      </c>
      <c r="B4" s="4">
        <v>0.37</v>
      </c>
      <c r="C4" s="4">
        <v>0</v>
      </c>
      <c r="D4" s="4">
        <v>0.63870000000000005</v>
      </c>
      <c r="E4" s="4">
        <v>0.3478</v>
      </c>
      <c r="F4" s="4">
        <v>0.36170000000000002</v>
      </c>
    </row>
    <row r="5" spans="1:6" x14ac:dyDescent="0.25">
      <c r="A5" s="4">
        <v>1</v>
      </c>
      <c r="B5" s="4">
        <v>0.3649</v>
      </c>
      <c r="C5" s="4">
        <v>0</v>
      </c>
      <c r="D5" s="4">
        <v>0.63870000000000005</v>
      </c>
      <c r="E5" s="4">
        <v>0.3478</v>
      </c>
      <c r="F5" s="4">
        <v>0.36170000000000002</v>
      </c>
    </row>
    <row r="6" spans="1:6" x14ac:dyDescent="0.25">
      <c r="A6" s="4">
        <v>2</v>
      </c>
      <c r="B6" s="4">
        <v>0.34989999999999999</v>
      </c>
      <c r="C6" s="4">
        <v>0</v>
      </c>
      <c r="D6" s="4">
        <v>0.63900000000000001</v>
      </c>
      <c r="E6" s="4">
        <v>0.3478</v>
      </c>
      <c r="F6" s="4">
        <v>0.36170000000000002</v>
      </c>
    </row>
    <row r="7" spans="1:6" x14ac:dyDescent="0.25">
      <c r="A7" s="4">
        <v>3</v>
      </c>
      <c r="B7" s="4">
        <v>0.3261</v>
      </c>
      <c r="C7" s="4">
        <v>0</v>
      </c>
      <c r="D7" s="4">
        <v>0.64080000000000004</v>
      </c>
      <c r="E7" s="4">
        <v>0.34799999999999998</v>
      </c>
      <c r="F7" s="4">
        <v>0.36170000000000002</v>
      </c>
    </row>
    <row r="8" spans="1:6" x14ac:dyDescent="0.25">
      <c r="A8" s="4">
        <v>4</v>
      </c>
      <c r="B8" s="4">
        <v>0.29499999999999998</v>
      </c>
      <c r="C8" s="4">
        <v>0</v>
      </c>
      <c r="D8" s="4">
        <v>0.64959999999999996</v>
      </c>
      <c r="E8" s="4">
        <v>0.34910000000000002</v>
      </c>
      <c r="F8" s="4">
        <v>0.36180000000000001</v>
      </c>
    </row>
    <row r="9" spans="1:6" x14ac:dyDescent="0.25">
      <c r="A9" s="4">
        <v>5</v>
      </c>
      <c r="B9" s="4">
        <v>0.25879999999999997</v>
      </c>
      <c r="C9" s="4">
        <v>0</v>
      </c>
      <c r="D9" s="4">
        <v>0.68200000000000005</v>
      </c>
      <c r="E9" s="4">
        <v>0.35649999999999998</v>
      </c>
      <c r="F9" s="4">
        <v>0.36230000000000001</v>
      </c>
    </row>
    <row r="10" spans="1:6" x14ac:dyDescent="0.25">
      <c r="A10" s="4">
        <v>6</v>
      </c>
      <c r="B10" s="4">
        <v>0.22</v>
      </c>
      <c r="C10" s="4">
        <v>0</v>
      </c>
      <c r="D10" s="4">
        <v>0.77200000000000002</v>
      </c>
      <c r="E10" s="4">
        <v>0.38879999999999998</v>
      </c>
      <c r="F10" s="4">
        <v>0.36530000000000001</v>
      </c>
    </row>
    <row r="11" spans="1:6" x14ac:dyDescent="0.25">
      <c r="A11" s="4">
        <v>7</v>
      </c>
      <c r="B11" s="4">
        <v>0.1812</v>
      </c>
      <c r="C11" s="4">
        <v>0.23810000000000001</v>
      </c>
      <c r="D11" s="4">
        <v>0.95760000000000001</v>
      </c>
      <c r="E11" s="4">
        <v>0.48530000000000001</v>
      </c>
      <c r="F11" s="4">
        <v>0.37619999999999998</v>
      </c>
    </row>
    <row r="12" spans="1:6" x14ac:dyDescent="0.25">
      <c r="A12" s="4">
        <v>8</v>
      </c>
      <c r="B12" s="4">
        <v>0.14499999999999999</v>
      </c>
      <c r="C12" s="4">
        <v>0.46</v>
      </c>
      <c r="D12" s="4">
        <v>1.2306999999999999</v>
      </c>
      <c r="E12" s="4">
        <v>0.67430000000000001</v>
      </c>
      <c r="F12" s="4">
        <v>0.40450000000000003</v>
      </c>
    </row>
    <row r="13" spans="1:6" x14ac:dyDescent="0.25">
      <c r="A13" s="4">
        <v>9</v>
      </c>
      <c r="B13" s="4">
        <v>0.1139</v>
      </c>
      <c r="C13" s="4">
        <v>0.65049999999999997</v>
      </c>
      <c r="D13" s="4">
        <v>1.4865999999999999</v>
      </c>
      <c r="E13" s="4">
        <v>0.89639999999999997</v>
      </c>
      <c r="F13" s="4">
        <v>0.4551</v>
      </c>
    </row>
    <row r="14" spans="1:6" x14ac:dyDescent="0.25">
      <c r="A14" s="4">
        <v>10</v>
      </c>
      <c r="B14" s="4">
        <v>9.01E-2</v>
      </c>
      <c r="C14" s="4">
        <v>0.79669999999999996</v>
      </c>
      <c r="D14" s="4">
        <v>1.5629999999999999</v>
      </c>
      <c r="E14" s="4">
        <v>1</v>
      </c>
      <c r="F14" s="4">
        <v>0.5131</v>
      </c>
    </row>
    <row r="15" spans="1:6" x14ac:dyDescent="0.25">
      <c r="A15" s="4">
        <v>11</v>
      </c>
      <c r="B15" s="4">
        <v>7.51E-2</v>
      </c>
      <c r="C15" s="4">
        <v>0.88870000000000005</v>
      </c>
      <c r="D15" s="4">
        <v>1.3772</v>
      </c>
      <c r="E15" s="4">
        <v>0.89649999999999996</v>
      </c>
      <c r="F15" s="4">
        <v>0.54890000000000005</v>
      </c>
    </row>
    <row r="16" spans="1:6" x14ac:dyDescent="0.25">
      <c r="A16" s="4">
        <v>12</v>
      </c>
      <c r="B16" s="4">
        <v>7.0000000000000007E-2</v>
      </c>
      <c r="C16" s="4">
        <v>0.92</v>
      </c>
      <c r="D16" s="4">
        <v>1.0205</v>
      </c>
      <c r="E16" s="4">
        <v>0.67530000000000001</v>
      </c>
      <c r="F16" s="4">
        <v>0.55210000000000004</v>
      </c>
    </row>
    <row r="17" spans="1:6" x14ac:dyDescent="0.25">
      <c r="A17" s="4">
        <v>13</v>
      </c>
      <c r="B17" s="4">
        <v>7.51E-2</v>
      </c>
      <c r="C17" s="4">
        <v>0.88870000000000005</v>
      </c>
      <c r="D17" s="4">
        <v>0.68930000000000002</v>
      </c>
      <c r="E17" s="4">
        <v>0.49159999999999998</v>
      </c>
      <c r="F17" s="4">
        <v>0.55389999999999995</v>
      </c>
    </row>
    <row r="18" spans="1:6" x14ac:dyDescent="0.25">
      <c r="A18" s="4">
        <v>14</v>
      </c>
      <c r="B18" s="4">
        <v>9.01E-2</v>
      </c>
      <c r="C18" s="4">
        <v>0.79669999999999996</v>
      </c>
      <c r="D18" s="4">
        <v>0.53680000000000005</v>
      </c>
      <c r="E18" s="4">
        <v>0.41839999999999999</v>
      </c>
      <c r="F18" s="4">
        <v>0.59960000000000002</v>
      </c>
    </row>
    <row r="19" spans="1:6" x14ac:dyDescent="0.25">
      <c r="A19" s="4">
        <v>15</v>
      </c>
      <c r="B19" s="4">
        <v>0.1139</v>
      </c>
      <c r="C19" s="4">
        <v>0.65049999999999997</v>
      </c>
      <c r="D19" s="4">
        <v>0.60429999999999995</v>
      </c>
      <c r="E19" s="4">
        <v>0.4582</v>
      </c>
      <c r="F19" s="4">
        <v>0.70409999999999995</v>
      </c>
    </row>
    <row r="20" spans="1:6" x14ac:dyDescent="0.25">
      <c r="A20" s="4">
        <v>16</v>
      </c>
      <c r="B20" s="4">
        <v>0.14499999999999999</v>
      </c>
      <c r="C20" s="4">
        <v>0.46</v>
      </c>
      <c r="D20" s="4">
        <v>0.85599999999999998</v>
      </c>
      <c r="E20" s="4">
        <v>0.60599999999999998</v>
      </c>
      <c r="F20" s="4">
        <v>0.84</v>
      </c>
    </row>
    <row r="21" spans="1:6" x14ac:dyDescent="0.25">
      <c r="A21" s="4">
        <v>17</v>
      </c>
      <c r="B21" s="4">
        <v>0.1812</v>
      </c>
      <c r="C21" s="4">
        <v>0.23810000000000001</v>
      </c>
      <c r="D21" s="4">
        <v>1.2119</v>
      </c>
      <c r="E21" s="4">
        <v>0.82420000000000004</v>
      </c>
      <c r="F21" s="4">
        <v>0.95509999999999995</v>
      </c>
    </row>
    <row r="22" spans="1:6" x14ac:dyDescent="0.25">
      <c r="A22" s="4">
        <v>18</v>
      </c>
      <c r="B22" s="4">
        <v>0.22</v>
      </c>
      <c r="C22" s="4">
        <v>0</v>
      </c>
      <c r="D22" s="4">
        <v>1.5382</v>
      </c>
      <c r="E22" s="4">
        <v>0.99619999999999997</v>
      </c>
      <c r="F22" s="4">
        <v>1</v>
      </c>
    </row>
    <row r="23" spans="1:6" x14ac:dyDescent="0.25">
      <c r="A23" s="4">
        <v>19</v>
      </c>
      <c r="B23" s="4">
        <v>0.25879999999999997</v>
      </c>
      <c r="C23" s="4">
        <v>0</v>
      </c>
      <c r="D23" s="4">
        <v>1.6772</v>
      </c>
      <c r="E23" s="4">
        <v>0.99619999999999997</v>
      </c>
      <c r="F23" s="4">
        <v>0.95440000000000003</v>
      </c>
    </row>
    <row r="24" spans="1:6" x14ac:dyDescent="0.25">
      <c r="A24" s="4">
        <v>20</v>
      </c>
      <c r="B24" s="4">
        <v>0.29499999999999998</v>
      </c>
      <c r="C24" s="4">
        <v>0</v>
      </c>
      <c r="D24" s="4">
        <v>1.5595000000000001</v>
      </c>
      <c r="E24" s="4">
        <v>0.82399999999999995</v>
      </c>
      <c r="F24" s="4">
        <v>0.83650000000000002</v>
      </c>
    </row>
    <row r="25" spans="1:6" x14ac:dyDescent="0.25">
      <c r="A25" s="4">
        <v>21</v>
      </c>
      <c r="B25" s="4">
        <v>0.3261</v>
      </c>
      <c r="C25" s="4">
        <v>0</v>
      </c>
      <c r="D25" s="4">
        <v>1.2723</v>
      </c>
      <c r="E25" s="4">
        <v>0.60470000000000002</v>
      </c>
      <c r="F25" s="4">
        <v>0.68969999999999998</v>
      </c>
    </row>
    <row r="26" spans="1:6" x14ac:dyDescent="0.25">
      <c r="A26" s="4">
        <v>22</v>
      </c>
      <c r="B26" s="4">
        <v>0.34989999999999999</v>
      </c>
      <c r="C26" s="4">
        <v>0</v>
      </c>
      <c r="D26" s="4">
        <v>0.97789999999999999</v>
      </c>
      <c r="E26" s="4">
        <v>0.4496</v>
      </c>
      <c r="F26" s="4">
        <v>0.55710000000000004</v>
      </c>
    </row>
    <row r="27" spans="1:6" x14ac:dyDescent="0.25">
      <c r="A27" s="4">
        <v>23</v>
      </c>
      <c r="B27" s="4">
        <v>0.3649</v>
      </c>
      <c r="C27" s="4">
        <v>0</v>
      </c>
      <c r="D27" s="4">
        <v>0.78010000000000002</v>
      </c>
      <c r="E27" s="4">
        <v>0.37740000000000001</v>
      </c>
      <c r="F27" s="4">
        <v>0.46210000000000001</v>
      </c>
    </row>
    <row r="29" spans="1:6" x14ac:dyDescent="0.25">
      <c r="A29" s="5" t="s">
        <v>342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9"/>
  <sheetViews>
    <sheetView zoomScaleNormal="100" workbookViewId="0"/>
  </sheetViews>
  <sheetFormatPr defaultColWidth="8.7109375" defaultRowHeight="15" x14ac:dyDescent="0.25"/>
  <cols>
    <col min="1" max="1" width="6" customWidth="1"/>
    <col min="2" max="3" width="18" customWidth="1"/>
  </cols>
  <sheetData>
    <row r="1" spans="1:3" ht="16.5" x14ac:dyDescent="0.25">
      <c r="A1" s="1" t="s">
        <v>343</v>
      </c>
    </row>
    <row r="3" spans="1:3" ht="30" x14ac:dyDescent="0.25">
      <c r="A3" s="3" t="s">
        <v>336</v>
      </c>
      <c r="B3" s="3" t="s">
        <v>344</v>
      </c>
      <c r="C3" s="3" t="s">
        <v>345</v>
      </c>
    </row>
    <row r="4" spans="1:3" x14ac:dyDescent="0.25">
      <c r="A4" s="4">
        <v>0</v>
      </c>
      <c r="B4" s="4">
        <v>0.1565</v>
      </c>
      <c r="C4" s="4">
        <v>0</v>
      </c>
    </row>
    <row r="5" spans="1:3" x14ac:dyDescent="0.25">
      <c r="A5" s="4">
        <v>1</v>
      </c>
      <c r="B5" s="4">
        <v>0.1648</v>
      </c>
      <c r="C5" s="4">
        <v>2.3E-3</v>
      </c>
    </row>
    <row r="6" spans="1:3" x14ac:dyDescent="0.25">
      <c r="A6" s="4">
        <v>2</v>
      </c>
      <c r="B6" s="4">
        <v>0.15679999999999999</v>
      </c>
      <c r="C6" s="4">
        <v>3.8999999999999998E-3</v>
      </c>
    </row>
    <row r="7" spans="1:3" x14ac:dyDescent="0.25">
      <c r="A7" s="4">
        <v>3</v>
      </c>
      <c r="B7" s="4">
        <v>0.14949999999999999</v>
      </c>
      <c r="C7" s="4">
        <v>1.2999999999999999E-2</v>
      </c>
    </row>
    <row r="8" spans="1:3" x14ac:dyDescent="0.25">
      <c r="A8" s="4">
        <v>4</v>
      </c>
      <c r="B8" s="4">
        <v>0.15040000000000001</v>
      </c>
      <c r="C8" s="4">
        <v>3.2899999999999999E-2</v>
      </c>
    </row>
    <row r="9" spans="1:3" x14ac:dyDescent="0.25">
      <c r="A9" s="4">
        <v>5</v>
      </c>
      <c r="B9" s="4">
        <v>0.1469</v>
      </c>
      <c r="C9" s="4">
        <v>4.58E-2</v>
      </c>
    </row>
    <row r="10" spans="1:3" x14ac:dyDescent="0.25">
      <c r="A10" s="4">
        <v>6</v>
      </c>
      <c r="B10" s="4">
        <v>0.15060000000000001</v>
      </c>
      <c r="C10" s="4">
        <v>4.99E-2</v>
      </c>
    </row>
    <row r="11" spans="1:3" x14ac:dyDescent="0.25">
      <c r="A11" s="4">
        <v>7</v>
      </c>
      <c r="B11" s="4">
        <v>0.14549999999999999</v>
      </c>
      <c r="C11" s="4">
        <v>8.9399999999999993E-2</v>
      </c>
    </row>
    <row r="12" spans="1:3" x14ac:dyDescent="0.25">
      <c r="A12" s="4">
        <v>8</v>
      </c>
      <c r="B12" s="4">
        <v>0.1467</v>
      </c>
      <c r="C12" s="4">
        <v>0.13139999999999999</v>
      </c>
    </row>
    <row r="13" spans="1:3" x14ac:dyDescent="0.25">
      <c r="A13" s="4">
        <v>9</v>
      </c>
      <c r="B13" s="4">
        <v>0.14369999999999999</v>
      </c>
      <c r="C13" s="4">
        <v>0.16550000000000001</v>
      </c>
    </row>
    <row r="14" spans="1:3" x14ac:dyDescent="0.25">
      <c r="A14" s="4">
        <v>10</v>
      </c>
      <c r="B14" s="4">
        <v>0.1406</v>
      </c>
      <c r="C14" s="4">
        <v>0.18890000000000001</v>
      </c>
    </row>
    <row r="15" spans="1:3" x14ac:dyDescent="0.25">
      <c r="A15" s="4">
        <v>11</v>
      </c>
      <c r="B15" s="4">
        <v>0.14710000000000001</v>
      </c>
      <c r="C15" s="4">
        <v>0.2087</v>
      </c>
    </row>
    <row r="16" spans="1:3" x14ac:dyDescent="0.25">
      <c r="A16" s="4">
        <v>12</v>
      </c>
      <c r="B16" s="4">
        <v>0.16450000000000001</v>
      </c>
      <c r="C16" s="4">
        <v>0.17610000000000001</v>
      </c>
    </row>
    <row r="17" spans="1:3" x14ac:dyDescent="0.25">
      <c r="A17" s="4">
        <v>13</v>
      </c>
      <c r="B17" s="4">
        <v>0.1691</v>
      </c>
      <c r="C17" s="4">
        <v>0.15240000000000001</v>
      </c>
    </row>
    <row r="18" spans="1:3" x14ac:dyDescent="0.25">
      <c r="A18" s="4">
        <v>14</v>
      </c>
      <c r="B18" s="4">
        <v>0.17169999999999999</v>
      </c>
      <c r="C18" s="4">
        <v>0.11840000000000001</v>
      </c>
    </row>
    <row r="19" spans="1:3" x14ac:dyDescent="0.25">
      <c r="A19" s="4">
        <v>15</v>
      </c>
      <c r="B19" s="4">
        <v>0.1663</v>
      </c>
      <c r="C19" s="4">
        <v>8.8800000000000004E-2</v>
      </c>
    </row>
    <row r="20" spans="1:3" x14ac:dyDescent="0.25">
      <c r="A20" s="4">
        <v>16</v>
      </c>
      <c r="B20" s="4">
        <v>0.16520000000000001</v>
      </c>
      <c r="C20" s="4">
        <v>7.3099999999999998E-2</v>
      </c>
    </row>
    <row r="21" spans="1:3" x14ac:dyDescent="0.25">
      <c r="A21" s="4">
        <v>17</v>
      </c>
      <c r="B21" s="4">
        <v>0.1663</v>
      </c>
      <c r="C21" s="4">
        <v>7.1900000000000006E-2</v>
      </c>
    </row>
    <row r="22" spans="1:3" x14ac:dyDescent="0.25">
      <c r="A22" s="4">
        <v>18</v>
      </c>
      <c r="B22" s="4">
        <v>0.15529999999999999</v>
      </c>
      <c r="C22" s="4">
        <v>5.45E-2</v>
      </c>
    </row>
    <row r="23" spans="1:3" x14ac:dyDescent="0.25">
      <c r="A23" s="4">
        <v>19</v>
      </c>
      <c r="B23" s="4">
        <v>0.1542</v>
      </c>
      <c r="C23" s="4">
        <v>2.9100000000000001E-2</v>
      </c>
    </row>
    <row r="24" spans="1:3" x14ac:dyDescent="0.25">
      <c r="A24" s="4">
        <v>20</v>
      </c>
      <c r="B24" s="4">
        <v>0.15570000000000001</v>
      </c>
      <c r="C24" s="4">
        <v>1.2200000000000001E-2</v>
      </c>
    </row>
    <row r="25" spans="1:3" x14ac:dyDescent="0.25">
      <c r="A25" s="4">
        <v>21</v>
      </c>
      <c r="B25" s="4">
        <v>0.14979999999999999</v>
      </c>
      <c r="C25" s="4">
        <v>3.3E-3</v>
      </c>
    </row>
    <row r="26" spans="1:3" x14ac:dyDescent="0.25">
      <c r="A26" s="4">
        <v>22</v>
      </c>
      <c r="B26" s="4">
        <v>0.13519999999999999</v>
      </c>
      <c r="C26" s="4">
        <v>0</v>
      </c>
    </row>
    <row r="27" spans="1:3" x14ac:dyDescent="0.25">
      <c r="A27" s="4">
        <v>23</v>
      </c>
      <c r="B27" s="4">
        <v>0.14460000000000001</v>
      </c>
      <c r="C27" s="4">
        <v>0</v>
      </c>
    </row>
    <row r="29" spans="1:3" x14ac:dyDescent="0.25">
      <c r="A29" s="5" t="s">
        <v>346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tabSelected="1" zoomScaleNormal="100" workbookViewId="0"/>
  </sheetViews>
  <sheetFormatPr defaultColWidth="8.7109375" defaultRowHeight="15" x14ac:dyDescent="0.25"/>
  <cols>
    <col min="1" max="1" width="6" customWidth="1"/>
    <col min="2" max="2" width="10" customWidth="1"/>
    <col min="3" max="3" width="5" customWidth="1"/>
    <col min="4" max="4" width="8" customWidth="1"/>
    <col min="5" max="5" width="5" customWidth="1"/>
    <col min="6" max="6" width="8" customWidth="1"/>
    <col min="7" max="7" width="5" customWidth="1"/>
    <col min="8" max="8" width="8" customWidth="1"/>
    <col min="9" max="9" width="9" customWidth="1"/>
  </cols>
  <sheetData>
    <row r="1" spans="1:9" ht="16.5" x14ac:dyDescent="0.25">
      <c r="A1" s="1" t="s">
        <v>347</v>
      </c>
    </row>
    <row r="3" spans="1:9" ht="30" x14ac:dyDescent="0.25">
      <c r="A3" s="3" t="s">
        <v>43</v>
      </c>
      <c r="B3" s="3" t="s">
        <v>44</v>
      </c>
      <c r="C3" s="3" t="s">
        <v>47</v>
      </c>
      <c r="D3" s="3" t="s">
        <v>50</v>
      </c>
      <c r="E3" s="3" t="s">
        <v>48</v>
      </c>
      <c r="F3" s="3" t="s">
        <v>51</v>
      </c>
      <c r="G3" s="3" t="s">
        <v>49</v>
      </c>
      <c r="H3" s="3" t="s">
        <v>52</v>
      </c>
      <c r="I3" s="3" t="s">
        <v>348</v>
      </c>
    </row>
    <row r="4" spans="1:9" x14ac:dyDescent="0.25">
      <c r="A4" s="4" t="s">
        <v>54</v>
      </c>
      <c r="B4" s="4" t="s">
        <v>349</v>
      </c>
      <c r="C4" s="4">
        <v>2</v>
      </c>
      <c r="D4" s="4">
        <v>5</v>
      </c>
      <c r="E4" s="4">
        <v>1</v>
      </c>
      <c r="F4" s="4">
        <v>3</v>
      </c>
      <c r="G4" s="4">
        <v>1</v>
      </c>
      <c r="H4" s="4">
        <v>2</v>
      </c>
      <c r="I4" s="4">
        <v>5</v>
      </c>
    </row>
    <row r="5" spans="1:9" x14ac:dyDescent="0.25">
      <c r="A5" s="4" t="s">
        <v>56</v>
      </c>
      <c r="B5" s="4" t="s">
        <v>350</v>
      </c>
      <c r="C5" s="4">
        <v>3</v>
      </c>
      <c r="D5" s="4">
        <v>6.5</v>
      </c>
      <c r="E5" s="4">
        <v>2</v>
      </c>
      <c r="F5" s="4">
        <v>4.5</v>
      </c>
      <c r="G5" s="4">
        <v>1</v>
      </c>
      <c r="H5" s="4">
        <v>2.5</v>
      </c>
      <c r="I5" s="4">
        <v>5.5</v>
      </c>
    </row>
    <row r="6" spans="1:9" x14ac:dyDescent="0.25">
      <c r="A6" s="4" t="s">
        <v>58</v>
      </c>
      <c r="B6" s="4" t="s">
        <v>351</v>
      </c>
      <c r="C6" s="4">
        <v>2</v>
      </c>
      <c r="D6" s="4">
        <v>4</v>
      </c>
      <c r="E6" s="4">
        <v>1</v>
      </c>
      <c r="F6" s="4">
        <v>2.5</v>
      </c>
      <c r="G6" s="4">
        <v>1</v>
      </c>
      <c r="H6" s="4">
        <v>1.5</v>
      </c>
      <c r="I6" s="4">
        <v>4</v>
      </c>
    </row>
    <row r="7" spans="1:9" x14ac:dyDescent="0.25">
      <c r="A7" s="4" t="s">
        <v>60</v>
      </c>
      <c r="B7" s="4" t="s">
        <v>352</v>
      </c>
      <c r="C7" s="4">
        <v>2</v>
      </c>
      <c r="D7" s="4">
        <v>5</v>
      </c>
      <c r="E7" s="4">
        <v>1</v>
      </c>
      <c r="F7" s="4">
        <v>3</v>
      </c>
      <c r="G7" s="4">
        <v>2</v>
      </c>
      <c r="H7" s="4">
        <v>3</v>
      </c>
      <c r="I7" s="4">
        <v>5</v>
      </c>
    </row>
    <row r="8" spans="1:9" x14ac:dyDescent="0.25">
      <c r="A8" s="4" t="s">
        <v>145</v>
      </c>
      <c r="B8" s="4" t="s">
        <v>353</v>
      </c>
      <c r="C8" s="4">
        <v>3</v>
      </c>
      <c r="D8" s="4">
        <v>6</v>
      </c>
      <c r="E8" s="4">
        <v>2</v>
      </c>
      <c r="F8" s="4">
        <v>4</v>
      </c>
      <c r="G8" s="4">
        <v>1</v>
      </c>
      <c r="H8" s="4">
        <v>2</v>
      </c>
      <c r="I8" s="4">
        <v>4.5</v>
      </c>
    </row>
    <row r="9" spans="1:9" x14ac:dyDescent="0.25">
      <c r="A9" s="4" t="s">
        <v>149</v>
      </c>
      <c r="B9" s="4" t="s">
        <v>354</v>
      </c>
      <c r="C9" s="4">
        <v>2</v>
      </c>
      <c r="D9" s="4">
        <v>4</v>
      </c>
      <c r="E9" s="4">
        <v>1</v>
      </c>
      <c r="F9" s="4">
        <v>2.5</v>
      </c>
      <c r="G9" s="4">
        <v>1</v>
      </c>
      <c r="H9" s="4">
        <v>1.5</v>
      </c>
      <c r="I9" s="4">
        <v>4</v>
      </c>
    </row>
    <row r="11" spans="1:9" x14ac:dyDescent="0.25">
      <c r="A11" s="5" t="s">
        <v>355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README</vt:lpstr>
      <vt:lpstr>MG_Partition_33</vt:lpstr>
      <vt:lpstr>Bus_Data_33</vt:lpstr>
      <vt:lpstr>Line_Data_33</vt:lpstr>
      <vt:lpstr>DER_Placement_33</vt:lpstr>
      <vt:lpstr>SG_Parameters</vt:lpstr>
      <vt:lpstr>WT_Parameters</vt:lpstr>
      <vt:lpstr>PV_Parameters</vt:lpstr>
      <vt:lpstr>Storage_SESS</vt:lpstr>
      <vt:lpstr>Frequency_Limits</vt:lpstr>
      <vt:lpstr>DRCC_Parameters</vt:lpstr>
      <vt:lpstr>Cost_Coefficients</vt:lpstr>
      <vt:lpstr>Sampling</vt:lpstr>
      <vt:lpstr>Benchmark_Methods</vt:lpstr>
      <vt:lpstr>Penetration_Scenarios</vt:lpstr>
      <vt:lpstr>Renewable_Data</vt:lpstr>
      <vt:lpstr>Nominal_Profiles</vt:lpstr>
      <vt:lpstr>Renewable_ErrorStats</vt:lpstr>
      <vt:lpstr>System_123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Dishimin</cp:lastModifiedBy>
  <cp:revision>0</cp:revision>
  <dcterms:created xsi:type="dcterms:W3CDTF">2026-06-16T01:18:39Z</dcterms:created>
  <dcterms:modified xsi:type="dcterms:W3CDTF">2026-06-16T03:17:42Z</dcterms:modified>
  <dc:language>en-US</dc:language>
</cp:coreProperties>
</file>